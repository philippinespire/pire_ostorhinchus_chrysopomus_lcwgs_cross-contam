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!students/Ty_Burris_Thesis/Data Analysis/och_cross-contam_testing/"/>
    </mc:Choice>
  </mc:AlternateContent>
  <xr:revisionPtr revIDLastSave="947" documentId="8_{2E53005F-EE6A-4C63-AD98-34B3DF7C1D67}" xr6:coauthVersionLast="47" xr6:coauthVersionMax="47" xr10:uidLastSave="{0A44333B-F5D0-434C-A347-A0AD015F928B}"/>
  <bookViews>
    <workbookView xWindow="24975" yWindow="-21315" windowWidth="16425" windowHeight="7980" xr2:uid="{00000000-000D-0000-FFFF-FFFF00000000}"/>
  </bookViews>
  <sheets>
    <sheet name="Sheet1" sheetId="1" r:id="rId1"/>
    <sheet name="FullSeqDecode" sheetId="6" r:id="rId2"/>
    <sheet name="TL2decode" sheetId="5" r:id="rId3"/>
    <sheet name="FullSeqPool" sheetId="4" r:id="rId4"/>
    <sheet name="Sequence decode" sheetId="3" r:id="rId5"/>
    <sheet name="DilutionPlate" sheetId="2" r:id="rId6"/>
  </sheets>
  <definedNames>
    <definedName name="_xlnm._FilterDatabase" localSheetId="0" hidden="1">Sheet1!$A$1:$AMF$358</definedName>
    <definedName name="_xlnm.Print_Titles" localSheetId="3">FullSeqPool!$1:$1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123" i="1" l="1"/>
  <c r="CN272" i="1"/>
  <c r="CN273" i="1"/>
  <c r="CN274" i="1"/>
  <c r="CN275" i="1"/>
  <c r="CN276" i="1"/>
  <c r="CN277" i="1"/>
  <c r="CN278" i="1"/>
  <c r="CN279" i="1"/>
  <c r="CN280" i="1"/>
  <c r="CN281" i="1"/>
  <c r="CN282" i="1"/>
  <c r="CN283" i="1"/>
  <c r="CN284" i="1"/>
  <c r="CN285" i="1"/>
  <c r="CN286" i="1"/>
  <c r="CN287" i="1"/>
  <c r="CN288" i="1"/>
  <c r="CN289" i="1"/>
  <c r="CN290" i="1"/>
  <c r="CN291" i="1"/>
  <c r="CN292" i="1"/>
  <c r="CN293" i="1"/>
  <c r="CN294" i="1"/>
  <c r="CN74" i="1"/>
  <c r="CN76" i="1"/>
  <c r="CN78" i="1"/>
  <c r="CN80" i="1"/>
  <c r="CN82" i="1"/>
  <c r="CN84" i="1"/>
  <c r="CN87" i="1"/>
  <c r="CN90" i="1"/>
  <c r="CN93" i="1"/>
  <c r="CN95" i="1"/>
  <c r="CN97" i="1"/>
  <c r="CN99" i="1"/>
  <c r="CN100" i="1"/>
  <c r="CN102" i="1"/>
  <c r="CN104" i="1"/>
  <c r="CN107" i="1"/>
  <c r="CN109" i="1"/>
  <c r="CN111" i="1"/>
  <c r="CN113" i="1"/>
  <c r="CN116" i="1"/>
  <c r="CN118" i="1"/>
  <c r="CN120" i="1"/>
  <c r="CN122" i="1"/>
  <c r="CN125" i="1"/>
  <c r="CN126" i="1"/>
  <c r="CN128" i="1"/>
  <c r="CN130" i="1"/>
  <c r="CN132" i="1"/>
  <c r="CN134" i="1"/>
  <c r="CN136" i="1"/>
  <c r="CN138" i="1"/>
  <c r="CN142" i="1"/>
  <c r="CN144" i="1"/>
  <c r="CN147" i="1"/>
  <c r="CN149" i="1"/>
  <c r="CN151" i="1"/>
  <c r="CN152" i="1"/>
  <c r="CN153" i="1"/>
  <c r="CN154" i="1"/>
  <c r="CN155" i="1"/>
  <c r="CN156" i="1"/>
  <c r="CN157" i="1"/>
  <c r="CN75" i="1"/>
  <c r="CN77" i="1"/>
  <c r="CN79" i="1"/>
  <c r="CN81" i="1"/>
  <c r="CN83" i="1"/>
  <c r="CN85" i="1"/>
  <c r="CN88" i="1"/>
  <c r="CN89" i="1"/>
  <c r="CN91" i="1"/>
  <c r="CN94" i="1"/>
  <c r="CN96" i="1"/>
  <c r="CN98" i="1"/>
  <c r="CN101" i="1"/>
  <c r="CN103" i="1"/>
  <c r="CN106" i="1"/>
  <c r="CN108" i="1"/>
  <c r="CN110" i="1"/>
  <c r="CN112" i="1"/>
  <c r="CN114" i="1"/>
  <c r="CN115" i="1"/>
  <c r="CN117" i="1"/>
  <c r="CN119" i="1"/>
  <c r="CN121" i="1"/>
  <c r="CN124" i="1"/>
  <c r="CN127" i="1"/>
  <c r="CN129" i="1"/>
  <c r="CN131" i="1"/>
  <c r="CN133" i="1"/>
  <c r="CN135" i="1"/>
  <c r="CN137" i="1"/>
  <c r="CN139" i="1"/>
  <c r="CN140" i="1"/>
  <c r="CN143" i="1"/>
  <c r="CN146" i="1"/>
  <c r="CN148" i="1"/>
  <c r="CN150" i="1"/>
  <c r="CN158" i="1"/>
  <c r="CN159" i="1"/>
  <c r="CN160" i="1"/>
  <c r="CN161" i="1"/>
  <c r="CN162" i="1"/>
  <c r="CN163" i="1"/>
  <c r="CN164" i="1"/>
  <c r="CN165" i="1"/>
  <c r="CN166" i="1"/>
  <c r="CN167" i="1"/>
  <c r="CN168" i="1"/>
  <c r="CN170" i="1"/>
  <c r="CN171" i="1"/>
  <c r="CN174" i="1"/>
  <c r="CN176" i="1"/>
  <c r="CN177" i="1"/>
  <c r="CN178" i="1"/>
  <c r="CN180" i="1"/>
  <c r="CN181" i="1"/>
  <c r="CN182" i="1"/>
  <c r="CN183" i="1"/>
  <c r="CN184" i="1"/>
  <c r="CN185" i="1"/>
  <c r="CN186" i="1"/>
  <c r="CN187" i="1"/>
  <c r="CN188" i="1"/>
  <c r="CN189" i="1"/>
  <c r="CN190" i="1"/>
  <c r="CN191" i="1"/>
  <c r="CN192" i="1"/>
  <c r="CN193" i="1"/>
  <c r="CN194" i="1"/>
  <c r="CN195" i="1"/>
  <c r="CN197" i="1"/>
  <c r="CN200" i="1"/>
  <c r="CN201" i="1"/>
  <c r="CN202" i="1"/>
  <c r="CN204" i="1"/>
  <c r="CN205" i="1"/>
  <c r="CN208" i="1"/>
  <c r="CN209" i="1"/>
  <c r="CN210" i="1"/>
  <c r="CN211" i="1"/>
  <c r="CN215" i="1"/>
  <c r="CN217" i="1"/>
  <c r="CN218" i="1"/>
  <c r="CN219" i="1"/>
  <c r="CN220" i="1"/>
  <c r="CN221" i="1"/>
  <c r="CN222" i="1"/>
  <c r="CN223" i="1"/>
  <c r="CN224" i="1"/>
  <c r="CN225" i="1"/>
  <c r="CN226" i="1"/>
  <c r="CN227" i="1"/>
  <c r="CN228" i="1"/>
  <c r="CN229" i="1"/>
  <c r="CN230" i="1"/>
  <c r="CN231" i="1"/>
  <c r="CN232" i="1"/>
  <c r="CN233" i="1"/>
  <c r="CN234" i="1"/>
  <c r="CN235" i="1"/>
  <c r="CN236" i="1"/>
  <c r="CN237" i="1"/>
  <c r="CN238" i="1"/>
  <c r="CN239" i="1"/>
  <c r="CN240" i="1"/>
  <c r="CN241" i="1"/>
  <c r="CN242" i="1"/>
  <c r="CN243" i="1"/>
  <c r="CN244" i="1"/>
  <c r="CN245" i="1"/>
  <c r="CN246" i="1"/>
  <c r="CN247" i="1"/>
  <c r="CN248" i="1"/>
  <c r="CN249" i="1"/>
  <c r="CN250" i="1"/>
  <c r="CN251" i="1"/>
  <c r="CN252" i="1"/>
  <c r="CN253" i="1"/>
  <c r="CN254" i="1"/>
  <c r="CN255" i="1"/>
  <c r="CN256" i="1"/>
  <c r="CN257" i="1"/>
  <c r="CN258" i="1"/>
  <c r="CN259" i="1"/>
  <c r="CN260" i="1"/>
  <c r="CN261" i="1"/>
  <c r="CN262" i="1"/>
  <c r="CN263" i="1"/>
  <c r="CN264" i="1"/>
  <c r="CN265" i="1"/>
  <c r="CN266" i="1"/>
  <c r="CN267" i="1"/>
  <c r="CN268" i="1"/>
  <c r="CN271" i="1"/>
  <c r="CF271" i="1"/>
  <c r="CM2" i="1" l="1"/>
  <c r="CM3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G296" i="1"/>
  <c r="CG304" i="1"/>
  <c r="CG306" i="1"/>
  <c r="CG310" i="1"/>
  <c r="CG318" i="1"/>
  <c r="CG319" i="1"/>
  <c r="CG320" i="1"/>
  <c r="CG327" i="1"/>
  <c r="CG339" i="1"/>
  <c r="CG340" i="1"/>
  <c r="CG349" i="1"/>
  <c r="CG285" i="1"/>
  <c r="CG294" i="1"/>
  <c r="CF272" i="1"/>
  <c r="CF273" i="1"/>
  <c r="CF274" i="1"/>
  <c r="CF275" i="1"/>
  <c r="CF276" i="1"/>
  <c r="CF277" i="1"/>
  <c r="CF278" i="1"/>
  <c r="CF279" i="1"/>
  <c r="CF280" i="1"/>
  <c r="CF281" i="1"/>
  <c r="CF282" i="1"/>
  <c r="CF283" i="1"/>
  <c r="CF284" i="1"/>
  <c r="CF285" i="1"/>
  <c r="CF286" i="1"/>
  <c r="CF287" i="1"/>
  <c r="CF288" i="1"/>
  <c r="CF289" i="1"/>
  <c r="CF290" i="1"/>
  <c r="CF291" i="1"/>
  <c r="CF292" i="1"/>
  <c r="CF293" i="1"/>
  <c r="CF294" i="1"/>
  <c r="CE345" i="1"/>
  <c r="CE296" i="1"/>
  <c r="CE306" i="1"/>
  <c r="CE315" i="1"/>
  <c r="CE335" i="1"/>
  <c r="CE346" i="1"/>
  <c r="CE355" i="1"/>
  <c r="CE297" i="1"/>
  <c r="CE324" i="1"/>
  <c r="CE336" i="1"/>
  <c r="CE356" i="1"/>
  <c r="CE298" i="1"/>
  <c r="CE307" i="1"/>
  <c r="CE316" i="1"/>
  <c r="CE325" i="1"/>
  <c r="CE337" i="1"/>
  <c r="CE347" i="1"/>
  <c r="CE357" i="1"/>
  <c r="CE299" i="1"/>
  <c r="CE308" i="1"/>
  <c r="CE317" i="1"/>
  <c r="CE326" i="1"/>
  <c r="CE338" i="1"/>
  <c r="CE348" i="1"/>
  <c r="CE358" i="1"/>
  <c r="CE300" i="1"/>
  <c r="CE309" i="1"/>
  <c r="CE318" i="1"/>
  <c r="CE327" i="1"/>
  <c r="CE339" i="1"/>
  <c r="CE349" i="1"/>
  <c r="CE310" i="1"/>
  <c r="CE319" i="1"/>
  <c r="CE328" i="1"/>
  <c r="CE340" i="1"/>
  <c r="CE350" i="1"/>
  <c r="CE311" i="1"/>
  <c r="CE320" i="1"/>
  <c r="CE329" i="1"/>
  <c r="CE351" i="1"/>
  <c r="CE301" i="1"/>
  <c r="CE321" i="1"/>
  <c r="CE330" i="1"/>
  <c r="CE341" i="1"/>
  <c r="CE302" i="1"/>
  <c r="CE312" i="1"/>
  <c r="CE331" i="1"/>
  <c r="CE342" i="1"/>
  <c r="CE352" i="1"/>
  <c r="CE303" i="1"/>
  <c r="CE313" i="1"/>
  <c r="CE322" i="1"/>
  <c r="CE332" i="1"/>
  <c r="CE343" i="1"/>
  <c r="CE353" i="1"/>
  <c r="CE304" i="1"/>
  <c r="CE333" i="1"/>
  <c r="CE344" i="1"/>
  <c r="CE354" i="1"/>
  <c r="CE295" i="1"/>
  <c r="CE305" i="1"/>
  <c r="CE314" i="1"/>
  <c r="CE323" i="1"/>
  <c r="CE334" i="1"/>
  <c r="CE271" i="1" l="1"/>
  <c r="CE272" i="1"/>
  <c r="CE273" i="1"/>
  <c r="CE274" i="1"/>
  <c r="CE275" i="1"/>
  <c r="CE276" i="1"/>
  <c r="CE277" i="1"/>
  <c r="CE278" i="1"/>
  <c r="CE279" i="1"/>
  <c r="CE280" i="1"/>
  <c r="CE281" i="1"/>
  <c r="CE282" i="1"/>
  <c r="CE283" i="1"/>
  <c r="CE284" i="1"/>
  <c r="CE286" i="1"/>
  <c r="CE287" i="1"/>
  <c r="CE288" i="1"/>
  <c r="CE289" i="1"/>
  <c r="CE290" i="1"/>
  <c r="CE291" i="1"/>
  <c r="CE292" i="1"/>
  <c r="CE293" i="1"/>
  <c r="CE285" i="1"/>
  <c r="CE294" i="1"/>
  <c r="BH315" i="1"/>
  <c r="BI315" i="1"/>
  <c r="BJ315" i="1"/>
  <c r="BK315" i="1"/>
  <c r="BH298" i="1"/>
  <c r="BI298" i="1"/>
  <c r="BJ298" i="1"/>
  <c r="BK298" i="1"/>
  <c r="BH308" i="1"/>
  <c r="BI308" i="1"/>
  <c r="BJ308" i="1"/>
  <c r="BK308" i="1"/>
  <c r="BH350" i="1"/>
  <c r="BI350" i="1"/>
  <c r="BJ350" i="1"/>
  <c r="BK350" i="1"/>
  <c r="BH341" i="1"/>
  <c r="BI341" i="1"/>
  <c r="BJ341" i="1"/>
  <c r="BK341" i="1"/>
  <c r="BH322" i="1"/>
  <c r="BI322" i="1"/>
  <c r="BJ322" i="1"/>
  <c r="BK322" i="1"/>
  <c r="BH305" i="1"/>
  <c r="BI305" i="1"/>
  <c r="BJ305" i="1"/>
  <c r="BK305" i="1"/>
  <c r="BH335" i="1"/>
  <c r="BI335" i="1"/>
  <c r="BJ335" i="1"/>
  <c r="BK335" i="1"/>
  <c r="BH307" i="1"/>
  <c r="BI307" i="1"/>
  <c r="BJ307" i="1"/>
  <c r="BK307" i="1"/>
  <c r="BH317" i="1"/>
  <c r="BI317" i="1"/>
  <c r="BJ317" i="1"/>
  <c r="BK317" i="1"/>
  <c r="BH311" i="1"/>
  <c r="BI311" i="1"/>
  <c r="BJ311" i="1"/>
  <c r="BK311" i="1"/>
  <c r="BH302" i="1"/>
  <c r="BI302" i="1"/>
  <c r="BJ302" i="1"/>
  <c r="BK302" i="1"/>
  <c r="BH332" i="1"/>
  <c r="BI332" i="1"/>
  <c r="BJ332" i="1"/>
  <c r="BK332" i="1"/>
  <c r="BH314" i="1"/>
  <c r="BI314" i="1"/>
  <c r="BJ314" i="1"/>
  <c r="BK314" i="1"/>
  <c r="BH346" i="1"/>
  <c r="BI346" i="1"/>
  <c r="BJ346" i="1"/>
  <c r="BK346" i="1"/>
  <c r="BH316" i="1"/>
  <c r="BI316" i="1"/>
  <c r="BJ316" i="1"/>
  <c r="BK316" i="1"/>
  <c r="BH326" i="1"/>
  <c r="BI326" i="1"/>
  <c r="BJ326" i="1"/>
  <c r="BK326" i="1"/>
  <c r="BH312" i="1"/>
  <c r="BI312" i="1"/>
  <c r="BJ312" i="1"/>
  <c r="BK312" i="1"/>
  <c r="BH343" i="1"/>
  <c r="BI343" i="1"/>
  <c r="BJ343" i="1"/>
  <c r="BK343" i="1"/>
  <c r="BH323" i="1"/>
  <c r="BI323" i="1"/>
  <c r="BJ323" i="1"/>
  <c r="BK323" i="1"/>
  <c r="BH355" i="1"/>
  <c r="BI355" i="1"/>
  <c r="BJ355" i="1"/>
  <c r="BK355" i="1"/>
  <c r="BH325" i="1"/>
  <c r="BI325" i="1"/>
  <c r="BJ325" i="1"/>
  <c r="BK325" i="1"/>
  <c r="BH338" i="1"/>
  <c r="BI338" i="1"/>
  <c r="BJ338" i="1"/>
  <c r="BK338" i="1"/>
  <c r="BH329" i="1"/>
  <c r="BI329" i="1"/>
  <c r="BJ329" i="1"/>
  <c r="BK329" i="1"/>
  <c r="BH331" i="1"/>
  <c r="BI331" i="1"/>
  <c r="BJ331" i="1"/>
  <c r="BK331" i="1"/>
  <c r="BH353" i="1"/>
  <c r="BI353" i="1"/>
  <c r="BJ353" i="1"/>
  <c r="BK353" i="1"/>
  <c r="BH334" i="1"/>
  <c r="BI334" i="1"/>
  <c r="BJ334" i="1"/>
  <c r="BK334" i="1"/>
  <c r="BH297" i="1"/>
  <c r="BI297" i="1"/>
  <c r="BJ297" i="1"/>
  <c r="BK297" i="1"/>
  <c r="BH337" i="1"/>
  <c r="BI337" i="1"/>
  <c r="BJ337" i="1"/>
  <c r="BK337" i="1"/>
  <c r="BH348" i="1"/>
  <c r="BI348" i="1"/>
  <c r="BJ348" i="1"/>
  <c r="BK348" i="1"/>
  <c r="BH351" i="1"/>
  <c r="BI351" i="1"/>
  <c r="BJ351" i="1"/>
  <c r="BK351" i="1"/>
  <c r="BH342" i="1"/>
  <c r="BI342" i="1"/>
  <c r="BJ342" i="1"/>
  <c r="BK342" i="1"/>
  <c r="BH345" i="1"/>
  <c r="BI345" i="1"/>
  <c r="BJ345" i="1"/>
  <c r="BK345" i="1"/>
  <c r="BH324" i="1"/>
  <c r="BI324" i="1"/>
  <c r="BJ324" i="1"/>
  <c r="BK324" i="1"/>
  <c r="BH347" i="1"/>
  <c r="BI347" i="1"/>
  <c r="BJ347" i="1"/>
  <c r="BK347" i="1"/>
  <c r="BH358" i="1"/>
  <c r="BI358" i="1"/>
  <c r="BJ358" i="1"/>
  <c r="BK358" i="1"/>
  <c r="BH301" i="1"/>
  <c r="BI301" i="1"/>
  <c r="BJ301" i="1"/>
  <c r="BK301" i="1"/>
  <c r="BH352" i="1"/>
  <c r="BI352" i="1"/>
  <c r="BJ352" i="1"/>
  <c r="BK352" i="1"/>
  <c r="BH333" i="1"/>
  <c r="BI333" i="1"/>
  <c r="BJ333" i="1"/>
  <c r="BK333" i="1"/>
  <c r="BH336" i="1"/>
  <c r="BI336" i="1"/>
  <c r="BJ336" i="1"/>
  <c r="BK336" i="1"/>
  <c r="BH357" i="1"/>
  <c r="BI357" i="1"/>
  <c r="BJ357" i="1"/>
  <c r="BK357" i="1"/>
  <c r="BH300" i="1"/>
  <c r="BI300" i="1"/>
  <c r="BJ300" i="1"/>
  <c r="BK300" i="1"/>
  <c r="BH328" i="1"/>
  <c r="BI328" i="1"/>
  <c r="BJ328" i="1"/>
  <c r="BK328" i="1"/>
  <c r="BH321" i="1"/>
  <c r="BI321" i="1"/>
  <c r="BJ321" i="1"/>
  <c r="BK321" i="1"/>
  <c r="BH303" i="1"/>
  <c r="BI303" i="1"/>
  <c r="BJ303" i="1"/>
  <c r="BK303" i="1"/>
  <c r="BH344" i="1"/>
  <c r="BI344" i="1"/>
  <c r="BJ344" i="1"/>
  <c r="BK344" i="1"/>
  <c r="BH356" i="1"/>
  <c r="BI356" i="1"/>
  <c r="BJ356" i="1"/>
  <c r="BK356" i="1"/>
  <c r="BH299" i="1"/>
  <c r="BI299" i="1"/>
  <c r="BJ299" i="1"/>
  <c r="BK299" i="1"/>
  <c r="BH309" i="1"/>
  <c r="BI309" i="1"/>
  <c r="BJ309" i="1"/>
  <c r="BK309" i="1"/>
  <c r="BH330" i="1"/>
  <c r="BI330" i="1"/>
  <c r="BJ330" i="1"/>
  <c r="BK330" i="1"/>
  <c r="BH313" i="1"/>
  <c r="BI313" i="1"/>
  <c r="BJ313" i="1"/>
  <c r="BK313" i="1"/>
  <c r="BH354" i="1"/>
  <c r="BI354" i="1"/>
  <c r="BJ354" i="1"/>
  <c r="BK354" i="1"/>
  <c r="BK295" i="1"/>
  <c r="BJ295" i="1"/>
  <c r="BI295" i="1"/>
  <c r="BH295" i="1"/>
  <c r="BY315" i="1"/>
  <c r="BZ315" i="1"/>
  <c r="CA315" i="1"/>
  <c r="BY298" i="1"/>
  <c r="BZ298" i="1"/>
  <c r="CA298" i="1"/>
  <c r="BY308" i="1"/>
  <c r="BZ308" i="1"/>
  <c r="CA308" i="1"/>
  <c r="BY350" i="1"/>
  <c r="BZ350" i="1"/>
  <c r="CA350" i="1"/>
  <c r="BY341" i="1"/>
  <c r="BZ341" i="1"/>
  <c r="CA341" i="1"/>
  <c r="BY322" i="1"/>
  <c r="BZ322" i="1"/>
  <c r="CA322" i="1"/>
  <c r="BY305" i="1"/>
  <c r="BZ305" i="1"/>
  <c r="CA305" i="1"/>
  <c r="BY335" i="1"/>
  <c r="BZ335" i="1"/>
  <c r="CA335" i="1"/>
  <c r="BY307" i="1"/>
  <c r="BZ307" i="1"/>
  <c r="CA307" i="1"/>
  <c r="BY317" i="1"/>
  <c r="BZ317" i="1"/>
  <c r="CA317" i="1"/>
  <c r="BY311" i="1"/>
  <c r="BZ311" i="1"/>
  <c r="CA311" i="1"/>
  <c r="BY302" i="1"/>
  <c r="BZ302" i="1"/>
  <c r="CA302" i="1"/>
  <c r="BY332" i="1"/>
  <c r="BZ332" i="1"/>
  <c r="CA332" i="1"/>
  <c r="BY314" i="1"/>
  <c r="BZ314" i="1"/>
  <c r="CA314" i="1"/>
  <c r="BY346" i="1"/>
  <c r="BZ346" i="1"/>
  <c r="CA346" i="1"/>
  <c r="BY316" i="1"/>
  <c r="BZ316" i="1"/>
  <c r="CA316" i="1"/>
  <c r="BY326" i="1"/>
  <c r="BZ326" i="1"/>
  <c r="CA326" i="1"/>
  <c r="BY312" i="1"/>
  <c r="BZ312" i="1"/>
  <c r="CA312" i="1"/>
  <c r="BY343" i="1"/>
  <c r="BZ343" i="1"/>
  <c r="CA343" i="1"/>
  <c r="BY323" i="1"/>
  <c r="BZ323" i="1"/>
  <c r="CA323" i="1"/>
  <c r="BY355" i="1"/>
  <c r="BZ355" i="1"/>
  <c r="CA355" i="1"/>
  <c r="BY325" i="1"/>
  <c r="BZ325" i="1"/>
  <c r="CA325" i="1"/>
  <c r="BY338" i="1"/>
  <c r="BZ338" i="1"/>
  <c r="CA338" i="1"/>
  <c r="BY329" i="1"/>
  <c r="BZ329" i="1"/>
  <c r="CA329" i="1"/>
  <c r="BY331" i="1"/>
  <c r="BZ331" i="1"/>
  <c r="CA331" i="1"/>
  <c r="BY353" i="1"/>
  <c r="BZ353" i="1"/>
  <c r="CA353" i="1"/>
  <c r="BY334" i="1"/>
  <c r="BZ334" i="1"/>
  <c r="CA334" i="1"/>
  <c r="BY297" i="1"/>
  <c r="BZ297" i="1"/>
  <c r="CA297" i="1"/>
  <c r="BY337" i="1"/>
  <c r="BZ337" i="1"/>
  <c r="CA337" i="1"/>
  <c r="BY348" i="1"/>
  <c r="BZ348" i="1"/>
  <c r="CA348" i="1"/>
  <c r="BY351" i="1"/>
  <c r="BZ351" i="1"/>
  <c r="CA351" i="1"/>
  <c r="BY342" i="1"/>
  <c r="BZ342" i="1"/>
  <c r="CA342" i="1"/>
  <c r="BY345" i="1"/>
  <c r="BZ345" i="1"/>
  <c r="CA345" i="1"/>
  <c r="BY324" i="1"/>
  <c r="BZ324" i="1"/>
  <c r="CA324" i="1"/>
  <c r="BY347" i="1"/>
  <c r="BZ347" i="1"/>
  <c r="CA347" i="1"/>
  <c r="BY358" i="1"/>
  <c r="BZ358" i="1"/>
  <c r="CA358" i="1"/>
  <c r="BY301" i="1"/>
  <c r="BZ301" i="1"/>
  <c r="CA301" i="1"/>
  <c r="BY352" i="1"/>
  <c r="BZ352" i="1"/>
  <c r="CA352" i="1"/>
  <c r="BY333" i="1"/>
  <c r="BZ333" i="1"/>
  <c r="CA333" i="1"/>
  <c r="BY336" i="1"/>
  <c r="BZ336" i="1"/>
  <c r="CA336" i="1"/>
  <c r="BY357" i="1"/>
  <c r="BZ357" i="1"/>
  <c r="CA357" i="1"/>
  <c r="BY300" i="1"/>
  <c r="BZ300" i="1"/>
  <c r="CA300" i="1"/>
  <c r="BY328" i="1"/>
  <c r="BZ328" i="1"/>
  <c r="CA328" i="1"/>
  <c r="BY321" i="1"/>
  <c r="BZ321" i="1"/>
  <c r="CA321" i="1"/>
  <c r="BY303" i="1"/>
  <c r="BZ303" i="1"/>
  <c r="CA303" i="1"/>
  <c r="BY344" i="1"/>
  <c r="BZ344" i="1"/>
  <c r="CA344" i="1"/>
  <c r="BY356" i="1"/>
  <c r="BZ356" i="1"/>
  <c r="CA356" i="1"/>
  <c r="BY299" i="1"/>
  <c r="BZ299" i="1"/>
  <c r="CA299" i="1"/>
  <c r="BY309" i="1"/>
  <c r="BZ309" i="1"/>
  <c r="CA309" i="1"/>
  <c r="BY330" i="1"/>
  <c r="BZ330" i="1"/>
  <c r="CA330" i="1"/>
  <c r="BY313" i="1"/>
  <c r="BZ313" i="1"/>
  <c r="CA313" i="1"/>
  <c r="BY354" i="1"/>
  <c r="BZ354" i="1"/>
  <c r="CA354" i="1"/>
  <c r="BY318" i="1"/>
  <c r="BZ318" i="1"/>
  <c r="CA318" i="1"/>
  <c r="BY327" i="1"/>
  <c r="BZ327" i="1"/>
  <c r="CA327" i="1"/>
  <c r="BY339" i="1"/>
  <c r="BZ339" i="1"/>
  <c r="CA339" i="1"/>
  <c r="BY320" i="1"/>
  <c r="BZ320" i="1"/>
  <c r="CA320" i="1"/>
  <c r="BY349" i="1"/>
  <c r="BZ349" i="1"/>
  <c r="CA349" i="1"/>
  <c r="BY310" i="1"/>
  <c r="BZ310" i="1"/>
  <c r="CA310" i="1"/>
  <c r="BY304" i="1"/>
  <c r="BZ304" i="1"/>
  <c r="CA304" i="1"/>
  <c r="BY319" i="1"/>
  <c r="BZ319" i="1"/>
  <c r="CA319" i="1"/>
  <c r="BY296" i="1"/>
  <c r="BZ296" i="1"/>
  <c r="CA296" i="1"/>
  <c r="BY306" i="1"/>
  <c r="BZ306" i="1"/>
  <c r="CA306" i="1"/>
  <c r="BY340" i="1"/>
  <c r="BZ340" i="1"/>
  <c r="CA340" i="1"/>
  <c r="CA295" i="1"/>
  <c r="BZ295" i="1"/>
  <c r="BY295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6" i="1"/>
  <c r="BH287" i="1"/>
  <c r="BH288" i="1"/>
  <c r="BH289" i="1"/>
  <c r="BH290" i="1"/>
  <c r="BH291" i="1"/>
  <c r="BH292" i="1"/>
  <c r="BH293" i="1"/>
  <c r="BH271" i="1"/>
  <c r="BI272" i="1"/>
  <c r="BJ272" i="1"/>
  <c r="BK272" i="1"/>
  <c r="BI273" i="1"/>
  <c r="BJ273" i="1"/>
  <c r="BK273" i="1"/>
  <c r="BI274" i="1"/>
  <c r="BJ274" i="1"/>
  <c r="BK274" i="1"/>
  <c r="BI275" i="1"/>
  <c r="BJ275" i="1"/>
  <c r="BK275" i="1"/>
  <c r="BI276" i="1"/>
  <c r="BJ276" i="1"/>
  <c r="BK276" i="1"/>
  <c r="BI277" i="1"/>
  <c r="BJ277" i="1"/>
  <c r="BK277" i="1"/>
  <c r="BI278" i="1"/>
  <c r="BJ278" i="1"/>
  <c r="BK278" i="1"/>
  <c r="BI279" i="1"/>
  <c r="BJ279" i="1"/>
  <c r="BK279" i="1"/>
  <c r="BI280" i="1"/>
  <c r="BJ280" i="1"/>
  <c r="BK280" i="1"/>
  <c r="BI281" i="1"/>
  <c r="BJ281" i="1"/>
  <c r="BK281" i="1"/>
  <c r="BI282" i="1"/>
  <c r="BJ282" i="1"/>
  <c r="BK282" i="1"/>
  <c r="BI283" i="1"/>
  <c r="BJ283" i="1"/>
  <c r="BK283" i="1"/>
  <c r="BI284" i="1"/>
  <c r="BJ284" i="1"/>
  <c r="BK284" i="1"/>
  <c r="BI286" i="1"/>
  <c r="BJ286" i="1"/>
  <c r="BK286" i="1"/>
  <c r="BI287" i="1"/>
  <c r="BJ287" i="1"/>
  <c r="BK287" i="1"/>
  <c r="BI288" i="1"/>
  <c r="BJ288" i="1"/>
  <c r="BK288" i="1"/>
  <c r="BI289" i="1"/>
  <c r="BJ289" i="1"/>
  <c r="BK289" i="1"/>
  <c r="BI290" i="1"/>
  <c r="BJ290" i="1"/>
  <c r="BK290" i="1"/>
  <c r="BI291" i="1"/>
  <c r="BJ291" i="1"/>
  <c r="BK291" i="1"/>
  <c r="BI292" i="1"/>
  <c r="BJ292" i="1"/>
  <c r="BK292" i="1"/>
  <c r="BI293" i="1"/>
  <c r="BJ293" i="1"/>
  <c r="BK293" i="1"/>
  <c r="BK271" i="1"/>
  <c r="BJ271" i="1"/>
  <c r="BI271" i="1"/>
  <c r="BY294" i="1"/>
  <c r="BZ294" i="1"/>
  <c r="CA294" i="1"/>
  <c r="BY272" i="1"/>
  <c r="BZ272" i="1"/>
  <c r="CA272" i="1"/>
  <c r="BY273" i="1"/>
  <c r="BZ273" i="1"/>
  <c r="CA273" i="1"/>
  <c r="BY274" i="1"/>
  <c r="BZ274" i="1"/>
  <c r="CA274" i="1"/>
  <c r="BY275" i="1"/>
  <c r="BZ275" i="1"/>
  <c r="CA275" i="1"/>
  <c r="BY276" i="1"/>
  <c r="BZ276" i="1"/>
  <c r="CA276" i="1"/>
  <c r="BY277" i="1"/>
  <c r="BZ277" i="1"/>
  <c r="CA277" i="1"/>
  <c r="BY278" i="1"/>
  <c r="BZ278" i="1"/>
  <c r="CA278" i="1"/>
  <c r="BY279" i="1"/>
  <c r="BZ279" i="1"/>
  <c r="CA279" i="1"/>
  <c r="BY280" i="1"/>
  <c r="BZ280" i="1"/>
  <c r="CA280" i="1"/>
  <c r="BY281" i="1"/>
  <c r="BZ281" i="1"/>
  <c r="CA281" i="1"/>
  <c r="BY282" i="1"/>
  <c r="BZ282" i="1"/>
  <c r="CA282" i="1"/>
  <c r="BY283" i="1"/>
  <c r="BZ283" i="1"/>
  <c r="CA283" i="1"/>
  <c r="BY284" i="1"/>
  <c r="BZ284" i="1"/>
  <c r="CA284" i="1"/>
  <c r="BY286" i="1"/>
  <c r="BZ286" i="1"/>
  <c r="CA286" i="1"/>
  <c r="BY287" i="1"/>
  <c r="BZ287" i="1"/>
  <c r="CA287" i="1"/>
  <c r="BY288" i="1"/>
  <c r="BZ288" i="1"/>
  <c r="CA288" i="1"/>
  <c r="BY289" i="1"/>
  <c r="BZ289" i="1"/>
  <c r="CA289" i="1"/>
  <c r="BY290" i="1"/>
  <c r="BZ290" i="1"/>
  <c r="CA290" i="1"/>
  <c r="BY291" i="1"/>
  <c r="BZ291" i="1"/>
  <c r="CA291" i="1"/>
  <c r="BY292" i="1"/>
  <c r="BZ292" i="1"/>
  <c r="CA292" i="1"/>
  <c r="BY293" i="1"/>
  <c r="BZ293" i="1"/>
  <c r="CA293" i="1"/>
  <c r="BY285" i="1"/>
  <c r="BZ285" i="1"/>
  <c r="CA285" i="1"/>
  <c r="BY271" i="1"/>
  <c r="BZ271" i="1"/>
  <c r="BN315" i="1"/>
  <c r="BN298" i="1"/>
  <c r="BN308" i="1"/>
  <c r="BN350" i="1"/>
  <c r="BN341" i="1"/>
  <c r="BN322" i="1"/>
  <c r="BN305" i="1"/>
  <c r="BN335" i="1"/>
  <c r="BN307" i="1"/>
  <c r="BN317" i="1"/>
  <c r="BN311" i="1"/>
  <c r="BN302" i="1"/>
  <c r="BN332" i="1"/>
  <c r="BN314" i="1"/>
  <c r="BN346" i="1"/>
  <c r="BN316" i="1"/>
  <c r="BN326" i="1"/>
  <c r="BN312" i="1"/>
  <c r="BN343" i="1"/>
  <c r="BN323" i="1"/>
  <c r="BN355" i="1"/>
  <c r="BN325" i="1"/>
  <c r="BN338" i="1"/>
  <c r="BN329" i="1"/>
  <c r="BN331" i="1"/>
  <c r="BN353" i="1"/>
  <c r="BN334" i="1"/>
  <c r="BN297" i="1"/>
  <c r="BN337" i="1"/>
  <c r="BN348" i="1"/>
  <c r="BN351" i="1"/>
  <c r="BN342" i="1"/>
  <c r="BN345" i="1"/>
  <c r="BN324" i="1"/>
  <c r="BN347" i="1"/>
  <c r="BN358" i="1"/>
  <c r="BN301" i="1"/>
  <c r="BN352" i="1"/>
  <c r="BN333" i="1"/>
  <c r="BN336" i="1"/>
  <c r="BN357" i="1"/>
  <c r="BN300" i="1"/>
  <c r="BN328" i="1"/>
  <c r="BN321" i="1"/>
  <c r="BN303" i="1"/>
  <c r="BN344" i="1"/>
  <c r="BN356" i="1"/>
  <c r="BN299" i="1"/>
  <c r="BN309" i="1"/>
  <c r="BN330" i="1"/>
  <c r="BN313" i="1"/>
  <c r="BN354" i="1"/>
  <c r="BN295" i="1"/>
  <c r="BN272" i="1"/>
  <c r="BN273" i="1"/>
  <c r="BN274" i="1"/>
  <c r="BN275" i="1"/>
  <c r="BN276" i="1"/>
  <c r="BN277" i="1"/>
  <c r="BN278" i="1"/>
  <c r="BN279" i="1"/>
  <c r="BN280" i="1"/>
  <c r="BN281" i="1"/>
  <c r="BN282" i="1"/>
  <c r="BN283" i="1"/>
  <c r="BN284" i="1"/>
  <c r="BN286" i="1"/>
  <c r="BN287" i="1"/>
  <c r="BN288" i="1"/>
  <c r="BN289" i="1"/>
  <c r="BN290" i="1"/>
  <c r="BN291" i="1"/>
  <c r="BN292" i="1"/>
  <c r="BN293" i="1"/>
  <c r="BN271" i="1"/>
  <c r="CA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315" i="1"/>
  <c r="AQ298" i="1"/>
  <c r="AQ308" i="1"/>
  <c r="AQ318" i="1"/>
  <c r="AQ350" i="1"/>
  <c r="AQ341" i="1"/>
  <c r="AQ322" i="1"/>
  <c r="AQ305" i="1"/>
  <c r="AQ335" i="1"/>
  <c r="AQ307" i="1"/>
  <c r="AQ317" i="1"/>
  <c r="AQ327" i="1"/>
  <c r="AQ311" i="1"/>
  <c r="AQ302" i="1"/>
  <c r="AQ332" i="1"/>
  <c r="AQ314" i="1"/>
  <c r="AQ346" i="1"/>
  <c r="AQ316" i="1"/>
  <c r="AQ326" i="1"/>
  <c r="AQ339" i="1"/>
  <c r="AQ320" i="1"/>
  <c r="AQ312" i="1"/>
  <c r="AQ343" i="1"/>
  <c r="AQ323" i="1"/>
  <c r="AQ355" i="1"/>
  <c r="AQ325" i="1"/>
  <c r="AQ338" i="1"/>
  <c r="AQ349" i="1"/>
  <c r="AQ329" i="1"/>
  <c r="AQ331" i="1"/>
  <c r="AQ353" i="1"/>
  <c r="AQ334" i="1"/>
  <c r="AQ297" i="1"/>
  <c r="AQ337" i="1"/>
  <c r="AQ348" i="1"/>
  <c r="AQ310" i="1"/>
  <c r="AQ351" i="1"/>
  <c r="AQ342" i="1"/>
  <c r="AQ304" i="1"/>
  <c r="AQ345" i="1"/>
  <c r="AQ324" i="1"/>
  <c r="AQ347" i="1"/>
  <c r="AQ358" i="1"/>
  <c r="AQ319" i="1"/>
  <c r="AQ301" i="1"/>
  <c r="AQ352" i="1"/>
  <c r="AQ333" i="1"/>
  <c r="AQ296" i="1"/>
  <c r="AQ336" i="1"/>
  <c r="AQ357" i="1"/>
  <c r="AQ300" i="1"/>
  <c r="AQ328" i="1"/>
  <c r="AQ321" i="1"/>
  <c r="AQ303" i="1"/>
  <c r="AQ344" i="1"/>
  <c r="AQ306" i="1"/>
  <c r="AQ356" i="1"/>
  <c r="AQ299" i="1"/>
  <c r="AQ309" i="1"/>
  <c r="AQ340" i="1"/>
  <c r="AQ330" i="1"/>
  <c r="AQ313" i="1"/>
  <c r="AQ354" i="1"/>
  <c r="AQ271" i="1"/>
  <c r="B354" i="1"/>
  <c r="B344" i="1"/>
  <c r="B333" i="1"/>
  <c r="B304" i="1"/>
  <c r="CF304" i="1" s="1"/>
  <c r="B353" i="1"/>
  <c r="CF353" i="1" s="1"/>
  <c r="B343" i="1"/>
  <c r="CF343" i="1" s="1"/>
  <c r="B332" i="1"/>
  <c r="B322" i="1"/>
  <c r="B313" i="1"/>
  <c r="B303" i="1"/>
  <c r="B352" i="1"/>
  <c r="B342" i="1"/>
  <c r="B331" i="1"/>
  <c r="B312" i="1"/>
  <c r="CF312" i="1" s="1"/>
  <c r="B302" i="1"/>
  <c r="B341" i="1"/>
  <c r="B330" i="1"/>
  <c r="B321" i="1"/>
  <c r="B301" i="1"/>
  <c r="B351" i="1"/>
  <c r="B329" i="1"/>
  <c r="B320" i="1"/>
  <c r="CF320" i="1" s="1"/>
  <c r="B311" i="1"/>
  <c r="B350" i="1"/>
  <c r="B340" i="1"/>
  <c r="CF340" i="1" s="1"/>
  <c r="B328" i="1"/>
  <c r="B319" i="1"/>
  <c r="CF319" i="1" s="1"/>
  <c r="B310" i="1"/>
  <c r="CF310" i="1" s="1"/>
  <c r="B349" i="1"/>
  <c r="CF349" i="1" s="1"/>
  <c r="B339" i="1"/>
  <c r="CF339" i="1" s="1"/>
  <c r="B327" i="1"/>
  <c r="CF327" i="1" s="1"/>
  <c r="B318" i="1"/>
  <c r="CF318" i="1" s="1"/>
  <c r="B309" i="1"/>
  <c r="B300" i="1"/>
  <c r="B358" i="1"/>
  <c r="B348" i="1"/>
  <c r="CF348" i="1" s="1"/>
  <c r="B338" i="1"/>
  <c r="B326" i="1"/>
  <c r="CF326" i="1" s="1"/>
  <c r="B317" i="1"/>
  <c r="B308" i="1"/>
  <c r="B299" i="1"/>
  <c r="B357" i="1"/>
  <c r="B347" i="1"/>
  <c r="B337" i="1"/>
  <c r="B325" i="1"/>
  <c r="B316" i="1"/>
  <c r="B307" i="1"/>
  <c r="B298" i="1"/>
  <c r="B356" i="1"/>
  <c r="B336" i="1"/>
  <c r="B324" i="1"/>
  <c r="B297" i="1"/>
  <c r="B355" i="1"/>
  <c r="B346" i="1"/>
  <c r="B335" i="1"/>
  <c r="B315" i="1"/>
  <c r="B306" i="1"/>
  <c r="CF306" i="1" s="1"/>
  <c r="B296" i="1"/>
  <c r="CF296" i="1" s="1"/>
  <c r="B345" i="1"/>
  <c r="B334" i="1"/>
  <c r="B323" i="1"/>
  <c r="B314" i="1"/>
  <c r="B305" i="1"/>
  <c r="B295" i="1"/>
  <c r="CF305" i="1" l="1"/>
  <c r="CN305" i="1"/>
  <c r="CF307" i="1"/>
  <c r="CN307" i="1"/>
  <c r="CF302" i="1"/>
  <c r="CN302" i="1"/>
  <c r="CF314" i="1"/>
  <c r="CN314" i="1"/>
  <c r="CF316" i="1"/>
  <c r="CN316" i="1"/>
  <c r="CF323" i="1"/>
  <c r="CN323" i="1"/>
  <c r="CF325" i="1"/>
  <c r="CN325" i="1"/>
  <c r="CF331" i="1"/>
  <c r="CN331" i="1"/>
  <c r="CF299" i="1"/>
  <c r="CN299" i="1"/>
  <c r="CF350" i="1"/>
  <c r="CN350" i="1"/>
  <c r="CF317" i="1"/>
  <c r="CN317" i="1"/>
  <c r="CF309" i="1"/>
  <c r="CN309" i="1"/>
  <c r="CF337" i="1"/>
  <c r="CN337" i="1"/>
  <c r="CF345" i="1"/>
  <c r="CN345" i="1"/>
  <c r="CF355" i="1"/>
  <c r="CN355" i="1"/>
  <c r="CF338" i="1"/>
  <c r="CN338" i="1"/>
  <c r="CF329" i="1"/>
  <c r="CN329" i="1"/>
  <c r="CF356" i="1"/>
  <c r="CN356" i="1"/>
  <c r="CF354" i="1"/>
  <c r="CN354" i="1"/>
  <c r="CF295" i="1"/>
  <c r="CN295" i="1"/>
  <c r="CF341" i="1"/>
  <c r="CN341" i="1"/>
  <c r="CF347" i="1"/>
  <c r="CN347" i="1"/>
  <c r="CF352" i="1"/>
  <c r="CN352" i="1"/>
  <c r="CF303" i="1"/>
  <c r="CN303" i="1"/>
  <c r="CF315" i="1"/>
  <c r="CN315" i="1"/>
  <c r="CF322" i="1"/>
  <c r="CN322" i="1"/>
  <c r="CF335" i="1"/>
  <c r="CN335" i="1"/>
  <c r="CF311" i="1"/>
  <c r="CN311" i="1"/>
  <c r="CF297" i="1"/>
  <c r="CN297" i="1"/>
  <c r="CF301" i="1"/>
  <c r="CN301" i="1"/>
  <c r="CF330" i="1"/>
  <c r="CN330" i="1"/>
  <c r="CF298" i="1"/>
  <c r="CN298" i="1"/>
  <c r="CF334" i="1"/>
  <c r="CN334" i="1"/>
  <c r="CF342" i="1"/>
  <c r="CN342" i="1"/>
  <c r="CF357" i="1"/>
  <c r="CN357" i="1"/>
  <c r="CF328" i="1"/>
  <c r="CN328" i="1"/>
  <c r="CF313" i="1"/>
  <c r="CN313" i="1"/>
  <c r="CF308" i="1"/>
  <c r="CN308" i="1"/>
  <c r="CF332" i="1"/>
  <c r="CN332" i="1"/>
  <c r="CF346" i="1"/>
  <c r="CN346" i="1"/>
  <c r="CF351" i="1"/>
  <c r="CN351" i="1"/>
  <c r="CF324" i="1"/>
  <c r="CN324" i="1"/>
  <c r="CF358" i="1"/>
  <c r="CN358" i="1"/>
  <c r="CF333" i="1"/>
  <c r="CN333" i="1"/>
  <c r="CF336" i="1"/>
  <c r="CN336" i="1"/>
  <c r="CF300" i="1"/>
  <c r="CN300" i="1"/>
  <c r="CF321" i="1"/>
  <c r="CN321" i="1"/>
  <c r="CF344" i="1"/>
  <c r="CN344" i="1"/>
  <c r="BO341" i="1"/>
  <c r="CG341" i="1"/>
  <c r="BO323" i="1"/>
  <c r="CG323" i="1"/>
  <c r="BO313" i="1"/>
  <c r="CG313" i="1"/>
  <c r="BO347" i="1"/>
  <c r="CG347" i="1"/>
  <c r="BO343" i="1"/>
  <c r="CG343" i="1"/>
  <c r="BO308" i="1"/>
  <c r="CG308" i="1"/>
  <c r="BO352" i="1"/>
  <c r="CG352" i="1"/>
  <c r="BO358" i="1"/>
  <c r="CG358" i="1"/>
  <c r="BO330" i="1"/>
  <c r="CG330" i="1"/>
  <c r="BO324" i="1"/>
  <c r="CG324" i="1"/>
  <c r="BO312" i="1"/>
  <c r="CG312" i="1"/>
  <c r="BO298" i="1"/>
  <c r="CG298" i="1"/>
  <c r="BO355" i="1"/>
  <c r="CG355" i="1"/>
  <c r="BO309" i="1"/>
  <c r="CG309" i="1"/>
  <c r="BO345" i="1"/>
  <c r="CG345" i="1"/>
  <c r="BO326" i="1"/>
  <c r="CG326" i="1"/>
  <c r="BO315" i="1"/>
  <c r="CG315" i="1"/>
  <c r="BO322" i="1"/>
  <c r="CG322" i="1"/>
  <c r="BO301" i="1"/>
  <c r="CG301" i="1"/>
  <c r="BO354" i="1"/>
  <c r="CG354" i="1"/>
  <c r="BO299" i="1"/>
  <c r="CG299" i="1"/>
  <c r="BO342" i="1"/>
  <c r="CG342" i="1"/>
  <c r="BO316" i="1"/>
  <c r="CG316" i="1"/>
  <c r="BO350" i="1"/>
  <c r="CG350" i="1"/>
  <c r="BO356" i="1"/>
  <c r="CG356" i="1"/>
  <c r="BO351" i="1"/>
  <c r="CG351" i="1"/>
  <c r="BO346" i="1"/>
  <c r="CG346" i="1"/>
  <c r="BO337" i="1"/>
  <c r="CG337" i="1"/>
  <c r="BO295" i="1"/>
  <c r="CG295" i="1"/>
  <c r="BO321" i="1"/>
  <c r="CG321" i="1"/>
  <c r="BO297" i="1"/>
  <c r="CG297" i="1"/>
  <c r="BO302" i="1"/>
  <c r="CG302" i="1"/>
  <c r="BO314" i="1"/>
  <c r="CG314" i="1"/>
  <c r="BO328" i="1"/>
  <c r="CG328" i="1"/>
  <c r="BO334" i="1"/>
  <c r="CG334" i="1"/>
  <c r="BO311" i="1"/>
  <c r="CG311" i="1"/>
  <c r="BO348" i="1"/>
  <c r="CG348" i="1"/>
  <c r="BO300" i="1"/>
  <c r="CG300" i="1"/>
  <c r="BO353" i="1"/>
  <c r="CG353" i="1"/>
  <c r="BO317" i="1"/>
  <c r="CG317" i="1"/>
  <c r="BO357" i="1"/>
  <c r="CG357" i="1"/>
  <c r="BO331" i="1"/>
  <c r="CG331" i="1"/>
  <c r="BO307" i="1"/>
  <c r="CG307" i="1"/>
  <c r="BO344" i="1"/>
  <c r="CG344" i="1"/>
  <c r="BO332" i="1"/>
  <c r="CG332" i="1"/>
  <c r="BO336" i="1"/>
  <c r="CG336" i="1"/>
  <c r="BO329" i="1"/>
  <c r="CG329" i="1"/>
  <c r="BO335" i="1"/>
  <c r="CG335" i="1"/>
  <c r="BO303" i="1"/>
  <c r="CG303" i="1"/>
  <c r="BO333" i="1"/>
  <c r="CG333" i="1"/>
  <c r="BO338" i="1"/>
  <c r="CG338" i="1"/>
  <c r="BO305" i="1"/>
  <c r="CG305" i="1"/>
  <c r="BO325" i="1"/>
  <c r="CG325" i="1"/>
  <c r="BO288" i="1"/>
  <c r="CG288" i="1"/>
  <c r="BO284" i="1"/>
  <c r="CG284" i="1"/>
  <c r="BO287" i="1"/>
  <c r="CG287" i="1"/>
  <c r="BO283" i="1"/>
  <c r="CG283" i="1"/>
  <c r="BO282" i="1"/>
  <c r="CG282" i="1"/>
  <c r="BO281" i="1"/>
  <c r="CG281" i="1"/>
  <c r="BO280" i="1"/>
  <c r="CG280" i="1"/>
  <c r="BO279" i="1"/>
  <c r="CG279" i="1"/>
  <c r="BO278" i="1"/>
  <c r="CG278" i="1"/>
  <c r="BO271" i="1"/>
  <c r="CG271" i="1"/>
  <c r="BO277" i="1"/>
  <c r="CG277" i="1"/>
  <c r="BO293" i="1"/>
  <c r="CG293" i="1"/>
  <c r="BO276" i="1"/>
  <c r="CG276" i="1"/>
  <c r="BO286" i="1"/>
  <c r="CG286" i="1"/>
  <c r="BO292" i="1"/>
  <c r="CG292" i="1"/>
  <c r="BO275" i="1"/>
  <c r="CG275" i="1"/>
  <c r="BO291" i="1"/>
  <c r="CG291" i="1"/>
  <c r="BO274" i="1"/>
  <c r="CG274" i="1"/>
  <c r="BO290" i="1"/>
  <c r="CG290" i="1"/>
  <c r="BO273" i="1"/>
  <c r="CG273" i="1"/>
  <c r="BO289" i="1"/>
  <c r="CG289" i="1"/>
  <c r="BO272" i="1"/>
  <c r="CG272" i="1"/>
  <c r="CG75" i="1"/>
  <c r="CG76" i="1"/>
  <c r="CG77" i="1"/>
  <c r="CG78" i="1"/>
  <c r="CG80" i="1"/>
  <c r="CG81" i="1"/>
  <c r="CG82" i="1"/>
  <c r="CG86" i="1"/>
  <c r="CG87" i="1"/>
  <c r="CG89" i="1"/>
  <c r="CG90" i="1"/>
  <c r="CG92" i="1"/>
  <c r="CG93" i="1"/>
  <c r="CG94" i="1"/>
  <c r="CG95" i="1"/>
  <c r="CG104" i="1"/>
  <c r="CG105" i="1"/>
  <c r="CG106" i="1"/>
  <c r="CG112" i="1"/>
  <c r="CG116" i="1"/>
  <c r="CG120" i="1"/>
  <c r="CG121" i="1"/>
  <c r="CG123" i="1"/>
  <c r="CG125" i="1"/>
  <c r="CG127" i="1"/>
  <c r="CG129" i="1"/>
  <c r="CG132" i="1"/>
  <c r="CG133" i="1"/>
  <c r="CG134" i="1"/>
  <c r="CG135" i="1"/>
  <c r="CG137" i="1"/>
  <c r="CG140" i="1"/>
  <c r="CG141" i="1"/>
  <c r="CG143" i="1"/>
  <c r="CG145" i="1"/>
  <c r="CG149" i="1"/>
  <c r="CG153" i="1"/>
  <c r="CG154" i="1"/>
  <c r="CG155" i="1"/>
  <c r="CG244" i="1"/>
  <c r="CG269" i="1"/>
  <c r="CG74" i="1"/>
  <c r="CE122" i="1" l="1"/>
  <c r="CF76" i="1"/>
  <c r="CF78" i="1"/>
  <c r="CF80" i="1"/>
  <c r="CF82" i="1"/>
  <c r="CF84" i="1"/>
  <c r="CF87" i="1"/>
  <c r="CF90" i="1"/>
  <c r="CF93" i="1"/>
  <c r="CF95" i="1"/>
  <c r="CF97" i="1"/>
  <c r="CF99" i="1"/>
  <c r="CF100" i="1"/>
  <c r="CF102" i="1"/>
  <c r="CF104" i="1"/>
  <c r="CF107" i="1"/>
  <c r="CF109" i="1"/>
  <c r="CF111" i="1"/>
  <c r="CF113" i="1"/>
  <c r="CF116" i="1"/>
  <c r="CF118" i="1"/>
  <c r="CF120" i="1"/>
  <c r="CF122" i="1"/>
  <c r="CF125" i="1"/>
  <c r="CF126" i="1"/>
  <c r="CF128" i="1"/>
  <c r="CF130" i="1"/>
  <c r="CF132" i="1"/>
  <c r="CF134" i="1"/>
  <c r="CF136" i="1"/>
  <c r="CF138" i="1"/>
  <c r="CF142" i="1"/>
  <c r="CF144" i="1"/>
  <c r="CF147" i="1"/>
  <c r="CF149" i="1"/>
  <c r="CF151" i="1"/>
  <c r="CF152" i="1"/>
  <c r="CF153" i="1"/>
  <c r="CF154" i="1"/>
  <c r="CF156" i="1"/>
  <c r="CF157" i="1"/>
  <c r="CF75" i="1"/>
  <c r="CF77" i="1"/>
  <c r="CF79" i="1"/>
  <c r="CF81" i="1"/>
  <c r="CF83" i="1"/>
  <c r="CF85" i="1"/>
  <c r="CF88" i="1"/>
  <c r="CF89" i="1"/>
  <c r="CF91" i="1"/>
  <c r="CF94" i="1"/>
  <c r="CF96" i="1"/>
  <c r="CF98" i="1"/>
  <c r="CF101" i="1"/>
  <c r="CF103" i="1"/>
  <c r="CF106" i="1"/>
  <c r="CF108" i="1"/>
  <c r="CF110" i="1"/>
  <c r="CF112" i="1"/>
  <c r="CF114" i="1"/>
  <c r="CF115" i="1"/>
  <c r="CF117" i="1"/>
  <c r="CF119" i="1"/>
  <c r="CF121" i="1"/>
  <c r="CF124" i="1"/>
  <c r="CF127" i="1"/>
  <c r="CF129" i="1"/>
  <c r="CF131" i="1"/>
  <c r="CF133" i="1"/>
  <c r="CF135" i="1"/>
  <c r="CF137" i="1"/>
  <c r="CF139" i="1"/>
  <c r="CF140" i="1"/>
  <c r="CF143" i="1"/>
  <c r="CF146" i="1"/>
  <c r="CF148" i="1"/>
  <c r="CF150" i="1"/>
  <c r="CF221" i="1"/>
  <c r="CF222" i="1"/>
  <c r="CF223" i="1"/>
  <c r="CF224" i="1"/>
  <c r="CF225" i="1"/>
  <c r="CF226" i="1"/>
  <c r="CF227" i="1"/>
  <c r="CF228" i="1"/>
  <c r="CF229" i="1"/>
  <c r="CF230" i="1"/>
  <c r="CF231" i="1"/>
  <c r="CF232" i="1"/>
  <c r="CF233" i="1"/>
  <c r="CF234" i="1"/>
  <c r="CF235" i="1"/>
  <c r="CF236" i="1"/>
  <c r="CF237" i="1"/>
  <c r="CF238" i="1"/>
  <c r="CF239" i="1"/>
  <c r="CF240" i="1"/>
  <c r="CF241" i="1"/>
  <c r="CF242" i="1"/>
  <c r="CF243" i="1"/>
  <c r="CF244" i="1"/>
  <c r="CF245" i="1"/>
  <c r="CF246" i="1"/>
  <c r="CF247" i="1"/>
  <c r="CF248" i="1"/>
  <c r="CF249" i="1"/>
  <c r="CF250" i="1"/>
  <c r="CF251" i="1"/>
  <c r="CF252" i="1"/>
  <c r="CF253" i="1"/>
  <c r="CF254" i="1"/>
  <c r="CF255" i="1"/>
  <c r="CF256" i="1"/>
  <c r="CF257" i="1"/>
  <c r="CF258" i="1"/>
  <c r="CF259" i="1"/>
  <c r="CF260" i="1"/>
  <c r="CF261" i="1"/>
  <c r="CF262" i="1"/>
  <c r="CF263" i="1"/>
  <c r="CF264" i="1"/>
  <c r="CF265" i="1"/>
  <c r="CF266" i="1"/>
  <c r="CF267" i="1"/>
  <c r="CF268" i="1"/>
  <c r="CF269" i="1"/>
  <c r="CF270" i="1"/>
  <c r="CF86" i="1"/>
  <c r="CF92" i="1"/>
  <c r="CF105" i="1"/>
  <c r="CF141" i="1"/>
  <c r="CF155" i="1"/>
  <c r="CF123" i="1"/>
  <c r="CF145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176" i="1"/>
  <c r="CF177" i="1"/>
  <c r="CF178" i="1"/>
  <c r="CF179" i="1"/>
  <c r="CF185" i="1"/>
  <c r="CF184" i="1"/>
  <c r="CF182" i="1"/>
  <c r="CF188" i="1"/>
  <c r="CF189" i="1"/>
  <c r="CF218" i="1"/>
  <c r="CF180" i="1"/>
  <c r="CF194" i="1"/>
  <c r="CF196" i="1"/>
  <c r="CF190" i="1"/>
  <c r="CF204" i="1"/>
  <c r="CF202" i="1"/>
  <c r="CF183" i="1"/>
  <c r="CF187" i="1"/>
  <c r="CF193" i="1"/>
  <c r="CF197" i="1"/>
  <c r="CF181" i="1"/>
  <c r="CF203" i="1"/>
  <c r="CF186" i="1"/>
  <c r="CF220" i="1"/>
  <c r="CF213" i="1"/>
  <c r="CF201" i="1"/>
  <c r="CF209" i="1"/>
  <c r="CF211" i="1"/>
  <c r="CF208" i="1"/>
  <c r="CF195" i="1"/>
  <c r="CF219" i="1"/>
  <c r="CF206" i="1"/>
  <c r="CF210" i="1"/>
  <c r="CF200" i="1"/>
  <c r="CF198" i="1"/>
  <c r="CF216" i="1"/>
  <c r="CF214" i="1"/>
  <c r="CF205" i="1"/>
  <c r="CF191" i="1"/>
  <c r="CF192" i="1"/>
  <c r="CF207" i="1"/>
  <c r="CF212" i="1"/>
  <c r="CF217" i="1"/>
  <c r="CF215" i="1"/>
  <c r="CF199" i="1"/>
  <c r="CF74" i="1"/>
  <c r="CE100" i="1"/>
  <c r="CE126" i="1"/>
  <c r="CE152" i="1"/>
  <c r="CE89" i="1"/>
  <c r="CE115" i="1"/>
  <c r="CE140" i="1"/>
  <c r="CE76" i="1"/>
  <c r="CE102" i="1"/>
  <c r="CE128" i="1"/>
  <c r="CE153" i="1"/>
  <c r="CE91" i="1"/>
  <c r="CE117" i="1"/>
  <c r="CE143" i="1"/>
  <c r="CE78" i="1"/>
  <c r="CE104" i="1"/>
  <c r="CE130" i="1"/>
  <c r="CE154" i="1"/>
  <c r="CE94" i="1"/>
  <c r="CE119" i="1"/>
  <c r="CE146" i="1"/>
  <c r="CE80" i="1"/>
  <c r="CE107" i="1"/>
  <c r="CE132" i="1"/>
  <c r="CE156" i="1"/>
  <c r="CE96" i="1"/>
  <c r="CE121" i="1"/>
  <c r="CE148" i="1"/>
  <c r="CE82" i="1"/>
  <c r="CE109" i="1"/>
  <c r="CE134" i="1"/>
  <c r="CE157" i="1"/>
  <c r="CE98" i="1"/>
  <c r="CE124" i="1"/>
  <c r="CE150" i="1"/>
  <c r="CE84" i="1"/>
  <c r="CE111" i="1"/>
  <c r="CE136" i="1"/>
  <c r="CE75" i="1"/>
  <c r="CE101" i="1"/>
  <c r="CE127" i="1"/>
  <c r="CE87" i="1"/>
  <c r="CE113" i="1"/>
  <c r="CE138" i="1"/>
  <c r="CE77" i="1"/>
  <c r="CE103" i="1"/>
  <c r="CE129" i="1"/>
  <c r="CE90" i="1"/>
  <c r="CE116" i="1"/>
  <c r="CE142" i="1"/>
  <c r="CE79" i="1"/>
  <c r="CE106" i="1"/>
  <c r="CE131" i="1"/>
  <c r="CE93" i="1"/>
  <c r="CE118" i="1"/>
  <c r="CE144" i="1"/>
  <c r="CE81" i="1"/>
  <c r="CE108" i="1"/>
  <c r="CE133" i="1"/>
  <c r="CE95" i="1"/>
  <c r="CE120" i="1"/>
  <c r="CE147" i="1"/>
  <c r="CE83" i="1"/>
  <c r="CE110" i="1"/>
  <c r="CE135" i="1"/>
  <c r="CE97" i="1"/>
  <c r="CE149" i="1"/>
  <c r="CE85" i="1"/>
  <c r="CE112" i="1"/>
  <c r="CE137" i="1"/>
  <c r="CE99" i="1"/>
  <c r="CE125" i="1"/>
  <c r="CE151" i="1"/>
  <c r="CE88" i="1"/>
  <c r="CE114" i="1"/>
  <c r="CE139" i="1"/>
  <c r="CE86" i="1"/>
  <c r="CE92" i="1"/>
  <c r="CE105" i="1"/>
  <c r="CE141" i="1"/>
  <c r="CE155" i="1"/>
  <c r="CE145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5" i="1"/>
  <c r="CE184" i="1"/>
  <c r="CE182" i="1"/>
  <c r="CE188" i="1"/>
  <c r="CE189" i="1"/>
  <c r="CE218" i="1"/>
  <c r="CE180" i="1"/>
  <c r="CE194" i="1"/>
  <c r="CE196" i="1"/>
  <c r="CE190" i="1"/>
  <c r="CE204" i="1"/>
  <c r="CE202" i="1"/>
  <c r="CE183" i="1"/>
  <c r="CE187" i="1"/>
  <c r="CE193" i="1"/>
  <c r="CE197" i="1"/>
  <c r="CE181" i="1"/>
  <c r="CE203" i="1"/>
  <c r="CE186" i="1"/>
  <c r="CE220" i="1"/>
  <c r="CE213" i="1"/>
  <c r="CE201" i="1"/>
  <c r="CE209" i="1"/>
  <c r="CE211" i="1"/>
  <c r="CE208" i="1"/>
  <c r="CE195" i="1"/>
  <c r="CE219" i="1"/>
  <c r="CE206" i="1"/>
  <c r="CE210" i="1"/>
  <c r="CE200" i="1"/>
  <c r="CE198" i="1"/>
  <c r="CE216" i="1"/>
  <c r="CE214" i="1"/>
  <c r="CE205" i="1"/>
  <c r="CE191" i="1"/>
  <c r="CE192" i="1"/>
  <c r="CE207" i="1"/>
  <c r="CE212" i="1"/>
  <c r="CE217" i="1"/>
  <c r="CE215" i="1"/>
  <c r="CE199" i="1"/>
  <c r="CE74" i="1"/>
  <c r="BZ81" i="1"/>
  <c r="BZ155" i="1"/>
  <c r="BZ105" i="1"/>
  <c r="BZ93" i="1"/>
  <c r="BZ80" i="1"/>
  <c r="BZ86" i="1"/>
  <c r="BZ77" i="1"/>
  <c r="BZ76" i="1"/>
  <c r="BZ141" i="1"/>
  <c r="BZ123" i="1"/>
  <c r="BZ153" i="1"/>
  <c r="BZ140" i="1"/>
  <c r="BZ134" i="1"/>
  <c r="BZ74" i="1"/>
  <c r="BZ121" i="1"/>
  <c r="BZ75" i="1"/>
  <c r="BZ143" i="1"/>
  <c r="BZ89" i="1"/>
  <c r="BZ95" i="1"/>
  <c r="BZ145" i="1"/>
  <c r="BZ135" i="1"/>
  <c r="BZ82" i="1"/>
  <c r="BZ94" i="1"/>
  <c r="BZ132" i="1"/>
  <c r="BZ87" i="1"/>
  <c r="BZ120" i="1"/>
  <c r="BZ116" i="1"/>
  <c r="BZ154" i="1"/>
  <c r="BZ106" i="1"/>
  <c r="BZ137" i="1"/>
  <c r="BZ149" i="1"/>
  <c r="BZ104" i="1"/>
  <c r="BZ133" i="1"/>
  <c r="BZ90" i="1"/>
  <c r="BZ112" i="1"/>
  <c r="BZ127" i="1"/>
  <c r="BZ125" i="1"/>
  <c r="BZ129" i="1"/>
  <c r="BZ78" i="1"/>
  <c r="BZ99" i="1"/>
  <c r="BZ144" i="1"/>
  <c r="BZ150" i="1"/>
  <c r="BZ85" i="1"/>
  <c r="BZ131" i="1"/>
  <c r="BZ111" i="1"/>
  <c r="BZ117" i="1"/>
  <c r="BZ96" i="1"/>
  <c r="BZ148" i="1"/>
  <c r="BZ151" i="1"/>
  <c r="BZ100" i="1"/>
  <c r="BZ103" i="1"/>
  <c r="BZ114" i="1"/>
  <c r="BZ124" i="1"/>
  <c r="BZ142" i="1"/>
  <c r="BZ146" i="1"/>
  <c r="BZ157" i="1"/>
  <c r="BZ79" i="1"/>
  <c r="BZ126" i="1"/>
  <c r="BZ98" i="1"/>
  <c r="BZ136" i="1"/>
  <c r="BZ88" i="1"/>
  <c r="BZ113" i="1"/>
  <c r="BZ119" i="1"/>
  <c r="BZ97" i="1"/>
  <c r="BZ118" i="1"/>
  <c r="BZ139" i="1"/>
  <c r="BZ130" i="1"/>
  <c r="BZ147" i="1"/>
  <c r="BZ91" i="1"/>
  <c r="BZ109" i="1"/>
  <c r="BZ84" i="1"/>
  <c r="BZ138" i="1"/>
  <c r="BZ128" i="1"/>
  <c r="BZ101" i="1"/>
  <c r="BZ156" i="1"/>
  <c r="BZ83" i="1"/>
  <c r="BZ122" i="1"/>
  <c r="BZ115" i="1"/>
  <c r="BZ107" i="1"/>
  <c r="BZ110" i="1"/>
  <c r="BZ102" i="1"/>
  <c r="BZ152" i="1"/>
  <c r="BZ108" i="1"/>
  <c r="BZ269" i="1"/>
  <c r="BZ244" i="1"/>
  <c r="BZ270" i="1"/>
  <c r="BZ236" i="1"/>
  <c r="BZ231" i="1"/>
  <c r="BZ232" i="1"/>
  <c r="BZ258" i="1"/>
  <c r="BZ198" i="1"/>
  <c r="BZ206" i="1"/>
  <c r="BZ246" i="1"/>
  <c r="BZ222" i="1"/>
  <c r="BZ230" i="1"/>
  <c r="BZ254" i="1"/>
  <c r="BZ250" i="1"/>
  <c r="BZ213" i="1"/>
  <c r="BZ239" i="1"/>
  <c r="BZ251" i="1"/>
  <c r="BZ214" i="1"/>
  <c r="BZ245" i="1"/>
  <c r="BZ212" i="1"/>
  <c r="BZ238" i="1"/>
  <c r="BZ247" i="1"/>
  <c r="BZ253" i="1"/>
  <c r="BZ170" i="1"/>
  <c r="BZ229" i="1"/>
  <c r="BZ240" i="1"/>
  <c r="BZ263" i="1"/>
  <c r="BZ241" i="1"/>
  <c r="BZ207" i="1"/>
  <c r="BZ223" i="1"/>
  <c r="BZ210" i="1"/>
  <c r="BZ255" i="1"/>
  <c r="BZ265" i="1"/>
  <c r="BZ235" i="1"/>
  <c r="BZ169" i="1"/>
  <c r="BZ266" i="1"/>
  <c r="BZ252" i="1"/>
  <c r="BZ201" i="1"/>
  <c r="BZ215" i="1"/>
  <c r="BZ249" i="1"/>
  <c r="BZ199" i="1"/>
  <c r="BZ242" i="1"/>
  <c r="BZ248" i="1"/>
  <c r="BZ228" i="1"/>
  <c r="BZ159" i="1"/>
  <c r="BZ264" i="1"/>
  <c r="BZ233" i="1"/>
  <c r="BZ171" i="1"/>
  <c r="BZ172" i="1"/>
  <c r="BZ179" i="1"/>
  <c r="BZ183" i="1"/>
  <c r="BZ256" i="1"/>
  <c r="BZ261" i="1"/>
  <c r="BZ216" i="1"/>
  <c r="BZ262" i="1"/>
  <c r="BZ192" i="1"/>
  <c r="BZ209" i="1"/>
  <c r="BZ162" i="1"/>
  <c r="BZ219" i="1"/>
  <c r="BZ227" i="1"/>
  <c r="BZ166" i="1"/>
  <c r="BZ211" i="1"/>
  <c r="BZ218" i="1"/>
  <c r="BZ200" i="1"/>
  <c r="BZ220" i="1"/>
  <c r="BZ187" i="1"/>
  <c r="BZ197" i="1"/>
  <c r="BZ225" i="1"/>
  <c r="BZ190" i="1"/>
  <c r="BZ226" i="1"/>
  <c r="BZ243" i="1"/>
  <c r="BZ203" i="1"/>
  <c r="BZ234" i="1"/>
  <c r="BZ161" i="1"/>
  <c r="BZ178" i="1"/>
  <c r="BZ191" i="1"/>
  <c r="BZ193" i="1"/>
  <c r="BZ217" i="1"/>
  <c r="BZ257" i="1"/>
  <c r="BZ260" i="1"/>
  <c r="BZ165" i="1"/>
  <c r="BZ205" i="1"/>
  <c r="BZ175" i="1"/>
  <c r="BZ208" i="1"/>
  <c r="BZ237" i="1"/>
  <c r="BZ181" i="1"/>
  <c r="BZ173" i="1"/>
  <c r="BZ176" i="1"/>
  <c r="BZ160" i="1"/>
  <c r="BZ259" i="1"/>
  <c r="BZ267" i="1"/>
  <c r="BZ180" i="1"/>
  <c r="BZ177" i="1"/>
  <c r="BZ221" i="1"/>
  <c r="BZ163" i="1"/>
  <c r="BZ164" i="1"/>
  <c r="BZ196" i="1"/>
  <c r="BZ184" i="1"/>
  <c r="BZ174" i="1"/>
  <c r="BZ195" i="1"/>
  <c r="BZ167" i="1"/>
  <c r="BZ168" i="1"/>
  <c r="BZ188" i="1"/>
  <c r="BZ268" i="1"/>
  <c r="BZ189" i="1"/>
  <c r="BZ186" i="1"/>
  <c r="BZ204" i="1"/>
  <c r="BZ202" i="1"/>
  <c r="BZ182" i="1"/>
  <c r="BZ185" i="1"/>
  <c r="BZ194" i="1"/>
  <c r="BZ224" i="1"/>
  <c r="BZ158" i="1"/>
  <c r="BZ92" i="1"/>
  <c r="BY81" i="1"/>
  <c r="CA81" i="1"/>
  <c r="BY155" i="1"/>
  <c r="CA155" i="1"/>
  <c r="BY105" i="1"/>
  <c r="CA105" i="1"/>
  <c r="BY93" i="1"/>
  <c r="CA93" i="1"/>
  <c r="BY80" i="1"/>
  <c r="CA80" i="1"/>
  <c r="BY86" i="1"/>
  <c r="CA86" i="1"/>
  <c r="BY77" i="1"/>
  <c r="CA77" i="1"/>
  <c r="BY76" i="1"/>
  <c r="CA76" i="1"/>
  <c r="BY141" i="1"/>
  <c r="CA141" i="1"/>
  <c r="BY123" i="1"/>
  <c r="CA123" i="1"/>
  <c r="BY153" i="1"/>
  <c r="CA153" i="1"/>
  <c r="BY140" i="1"/>
  <c r="CA140" i="1"/>
  <c r="BY134" i="1"/>
  <c r="CA134" i="1"/>
  <c r="BY74" i="1"/>
  <c r="CA74" i="1"/>
  <c r="BY121" i="1"/>
  <c r="CA121" i="1"/>
  <c r="BY75" i="1"/>
  <c r="CA75" i="1"/>
  <c r="BY143" i="1"/>
  <c r="CA143" i="1"/>
  <c r="BY89" i="1"/>
  <c r="CA89" i="1"/>
  <c r="BY95" i="1"/>
  <c r="CA95" i="1"/>
  <c r="BY145" i="1"/>
  <c r="CA145" i="1"/>
  <c r="BY135" i="1"/>
  <c r="CA135" i="1"/>
  <c r="BY82" i="1"/>
  <c r="CA82" i="1"/>
  <c r="BY94" i="1"/>
  <c r="CA94" i="1"/>
  <c r="BY132" i="1"/>
  <c r="CA132" i="1"/>
  <c r="BY87" i="1"/>
  <c r="CA87" i="1"/>
  <c r="BY120" i="1"/>
  <c r="CA120" i="1"/>
  <c r="BY116" i="1"/>
  <c r="CA116" i="1"/>
  <c r="BY154" i="1"/>
  <c r="CA154" i="1"/>
  <c r="BY106" i="1"/>
  <c r="CA106" i="1"/>
  <c r="BY137" i="1"/>
  <c r="CA137" i="1"/>
  <c r="BY149" i="1"/>
  <c r="CA149" i="1"/>
  <c r="BY104" i="1"/>
  <c r="CA104" i="1"/>
  <c r="BY133" i="1"/>
  <c r="CA133" i="1"/>
  <c r="BY90" i="1"/>
  <c r="CA90" i="1"/>
  <c r="BY112" i="1"/>
  <c r="CA112" i="1"/>
  <c r="BY127" i="1"/>
  <c r="CA127" i="1"/>
  <c r="BY125" i="1"/>
  <c r="CA125" i="1"/>
  <c r="BY129" i="1"/>
  <c r="CA129" i="1"/>
  <c r="BY78" i="1"/>
  <c r="CA78" i="1"/>
  <c r="BY99" i="1"/>
  <c r="CA99" i="1"/>
  <c r="BY144" i="1"/>
  <c r="CA144" i="1"/>
  <c r="BY150" i="1"/>
  <c r="CA150" i="1"/>
  <c r="BY85" i="1"/>
  <c r="CA85" i="1"/>
  <c r="BY131" i="1"/>
  <c r="CA131" i="1"/>
  <c r="BY111" i="1"/>
  <c r="CA111" i="1"/>
  <c r="BY117" i="1"/>
  <c r="CA117" i="1"/>
  <c r="BY96" i="1"/>
  <c r="CA96" i="1"/>
  <c r="BY148" i="1"/>
  <c r="CA148" i="1"/>
  <c r="BY151" i="1"/>
  <c r="CA151" i="1"/>
  <c r="BY100" i="1"/>
  <c r="CA100" i="1"/>
  <c r="BY103" i="1"/>
  <c r="CA103" i="1"/>
  <c r="BY114" i="1"/>
  <c r="CA114" i="1"/>
  <c r="BY124" i="1"/>
  <c r="CA124" i="1"/>
  <c r="BY142" i="1"/>
  <c r="CA142" i="1"/>
  <c r="BY146" i="1"/>
  <c r="CA146" i="1"/>
  <c r="BY157" i="1"/>
  <c r="CA157" i="1"/>
  <c r="BY79" i="1"/>
  <c r="CA79" i="1"/>
  <c r="BY126" i="1"/>
  <c r="CA126" i="1"/>
  <c r="BY98" i="1"/>
  <c r="CA98" i="1"/>
  <c r="BY136" i="1"/>
  <c r="CA136" i="1"/>
  <c r="BY88" i="1"/>
  <c r="CA88" i="1"/>
  <c r="BY113" i="1"/>
  <c r="CA113" i="1"/>
  <c r="BY119" i="1"/>
  <c r="CA119" i="1"/>
  <c r="BY97" i="1"/>
  <c r="CA97" i="1"/>
  <c r="BY118" i="1"/>
  <c r="CA118" i="1"/>
  <c r="BY139" i="1"/>
  <c r="CA139" i="1"/>
  <c r="BY130" i="1"/>
  <c r="CA130" i="1"/>
  <c r="BY147" i="1"/>
  <c r="CA147" i="1"/>
  <c r="BY91" i="1"/>
  <c r="CA91" i="1"/>
  <c r="BY109" i="1"/>
  <c r="CA109" i="1"/>
  <c r="BY84" i="1"/>
  <c r="CA84" i="1"/>
  <c r="BY138" i="1"/>
  <c r="CA138" i="1"/>
  <c r="BY128" i="1"/>
  <c r="CA128" i="1"/>
  <c r="BY101" i="1"/>
  <c r="CA101" i="1"/>
  <c r="BY156" i="1"/>
  <c r="CA156" i="1"/>
  <c r="BY83" i="1"/>
  <c r="CA83" i="1"/>
  <c r="BY122" i="1"/>
  <c r="CA122" i="1"/>
  <c r="BY115" i="1"/>
  <c r="CA115" i="1"/>
  <c r="BY107" i="1"/>
  <c r="CA107" i="1"/>
  <c r="BY110" i="1"/>
  <c r="CA110" i="1"/>
  <c r="BY102" i="1"/>
  <c r="CA102" i="1"/>
  <c r="BY152" i="1"/>
  <c r="CA152" i="1"/>
  <c r="BY108" i="1"/>
  <c r="CA108" i="1"/>
  <c r="BY269" i="1"/>
  <c r="CA269" i="1"/>
  <c r="BY244" i="1"/>
  <c r="CA244" i="1"/>
  <c r="BY270" i="1"/>
  <c r="CA270" i="1"/>
  <c r="BY236" i="1"/>
  <c r="CA236" i="1"/>
  <c r="BY231" i="1"/>
  <c r="CA231" i="1"/>
  <c r="BY232" i="1"/>
  <c r="CA232" i="1"/>
  <c r="BY258" i="1"/>
  <c r="CA258" i="1"/>
  <c r="BY198" i="1"/>
  <c r="CA198" i="1"/>
  <c r="BY206" i="1"/>
  <c r="CA206" i="1"/>
  <c r="BY246" i="1"/>
  <c r="CA246" i="1"/>
  <c r="BY222" i="1"/>
  <c r="CA222" i="1"/>
  <c r="BY230" i="1"/>
  <c r="CA230" i="1"/>
  <c r="BY254" i="1"/>
  <c r="CA254" i="1"/>
  <c r="BY250" i="1"/>
  <c r="CA250" i="1"/>
  <c r="BY213" i="1"/>
  <c r="CA213" i="1"/>
  <c r="BY239" i="1"/>
  <c r="CA239" i="1"/>
  <c r="BY251" i="1"/>
  <c r="CA251" i="1"/>
  <c r="BY214" i="1"/>
  <c r="CA214" i="1"/>
  <c r="BY245" i="1"/>
  <c r="CA245" i="1"/>
  <c r="BY212" i="1"/>
  <c r="CA212" i="1"/>
  <c r="BY238" i="1"/>
  <c r="CA238" i="1"/>
  <c r="BY247" i="1"/>
  <c r="CA247" i="1"/>
  <c r="BY253" i="1"/>
  <c r="CA253" i="1"/>
  <c r="BY170" i="1"/>
  <c r="CA170" i="1"/>
  <c r="BY229" i="1"/>
  <c r="CA229" i="1"/>
  <c r="BY240" i="1"/>
  <c r="CA240" i="1"/>
  <c r="BY263" i="1"/>
  <c r="CA263" i="1"/>
  <c r="BY241" i="1"/>
  <c r="CA241" i="1"/>
  <c r="BY207" i="1"/>
  <c r="CA207" i="1"/>
  <c r="BY223" i="1"/>
  <c r="CA223" i="1"/>
  <c r="BY210" i="1"/>
  <c r="CA210" i="1"/>
  <c r="BY255" i="1"/>
  <c r="CA255" i="1"/>
  <c r="BY265" i="1"/>
  <c r="CA265" i="1"/>
  <c r="BY235" i="1"/>
  <c r="CA235" i="1"/>
  <c r="BY169" i="1"/>
  <c r="CA169" i="1"/>
  <c r="BY266" i="1"/>
  <c r="CA266" i="1"/>
  <c r="BY252" i="1"/>
  <c r="CA252" i="1"/>
  <c r="BY201" i="1"/>
  <c r="CA201" i="1"/>
  <c r="BY215" i="1"/>
  <c r="CA215" i="1"/>
  <c r="BY249" i="1"/>
  <c r="CA249" i="1"/>
  <c r="BY199" i="1"/>
  <c r="CA199" i="1"/>
  <c r="BY242" i="1"/>
  <c r="CA242" i="1"/>
  <c r="BY248" i="1"/>
  <c r="CA248" i="1"/>
  <c r="BY228" i="1"/>
  <c r="CA228" i="1"/>
  <c r="BY159" i="1"/>
  <c r="CA159" i="1"/>
  <c r="BY264" i="1"/>
  <c r="CA264" i="1"/>
  <c r="BY233" i="1"/>
  <c r="CA233" i="1"/>
  <c r="BY171" i="1"/>
  <c r="CA171" i="1"/>
  <c r="BY172" i="1"/>
  <c r="CA172" i="1"/>
  <c r="BY179" i="1"/>
  <c r="CA179" i="1"/>
  <c r="BY183" i="1"/>
  <c r="CA183" i="1"/>
  <c r="BY256" i="1"/>
  <c r="CA256" i="1"/>
  <c r="BY261" i="1"/>
  <c r="CA261" i="1"/>
  <c r="BY216" i="1"/>
  <c r="CA216" i="1"/>
  <c r="BY262" i="1"/>
  <c r="CA262" i="1"/>
  <c r="BY192" i="1"/>
  <c r="CA192" i="1"/>
  <c r="BY209" i="1"/>
  <c r="CA209" i="1"/>
  <c r="BY162" i="1"/>
  <c r="CA162" i="1"/>
  <c r="BY219" i="1"/>
  <c r="CA219" i="1"/>
  <c r="BY227" i="1"/>
  <c r="CA227" i="1"/>
  <c r="BY166" i="1"/>
  <c r="CA166" i="1"/>
  <c r="BY211" i="1"/>
  <c r="CA211" i="1"/>
  <c r="BY218" i="1"/>
  <c r="CA218" i="1"/>
  <c r="BY200" i="1"/>
  <c r="CA200" i="1"/>
  <c r="BY220" i="1"/>
  <c r="CA220" i="1"/>
  <c r="BY187" i="1"/>
  <c r="CA187" i="1"/>
  <c r="BY197" i="1"/>
  <c r="CA197" i="1"/>
  <c r="BY225" i="1"/>
  <c r="CA225" i="1"/>
  <c r="BY190" i="1"/>
  <c r="CA190" i="1"/>
  <c r="BY226" i="1"/>
  <c r="CA226" i="1"/>
  <c r="BY243" i="1"/>
  <c r="CA243" i="1"/>
  <c r="BY203" i="1"/>
  <c r="CA203" i="1"/>
  <c r="BY234" i="1"/>
  <c r="CA234" i="1"/>
  <c r="BY161" i="1"/>
  <c r="CA161" i="1"/>
  <c r="BY178" i="1"/>
  <c r="CA178" i="1"/>
  <c r="BY191" i="1"/>
  <c r="CA191" i="1"/>
  <c r="BY193" i="1"/>
  <c r="CA193" i="1"/>
  <c r="BY217" i="1"/>
  <c r="CA217" i="1"/>
  <c r="BY257" i="1"/>
  <c r="CA257" i="1"/>
  <c r="BY260" i="1"/>
  <c r="CA260" i="1"/>
  <c r="BY165" i="1"/>
  <c r="CA165" i="1"/>
  <c r="BY205" i="1"/>
  <c r="CA205" i="1"/>
  <c r="BY175" i="1"/>
  <c r="CA175" i="1"/>
  <c r="BY208" i="1"/>
  <c r="CA208" i="1"/>
  <c r="BY237" i="1"/>
  <c r="CA237" i="1"/>
  <c r="BY181" i="1"/>
  <c r="CA181" i="1"/>
  <c r="BY173" i="1"/>
  <c r="CA173" i="1"/>
  <c r="BY176" i="1"/>
  <c r="CA176" i="1"/>
  <c r="BY160" i="1"/>
  <c r="CA160" i="1"/>
  <c r="BY259" i="1"/>
  <c r="CA259" i="1"/>
  <c r="BY267" i="1"/>
  <c r="CA267" i="1"/>
  <c r="BY180" i="1"/>
  <c r="CA180" i="1"/>
  <c r="BY177" i="1"/>
  <c r="CA177" i="1"/>
  <c r="BY221" i="1"/>
  <c r="CA221" i="1"/>
  <c r="BY163" i="1"/>
  <c r="CA163" i="1"/>
  <c r="BY164" i="1"/>
  <c r="CA164" i="1"/>
  <c r="BY196" i="1"/>
  <c r="CA196" i="1"/>
  <c r="BY184" i="1"/>
  <c r="CA184" i="1"/>
  <c r="BY174" i="1"/>
  <c r="CA174" i="1"/>
  <c r="BY195" i="1"/>
  <c r="CA195" i="1"/>
  <c r="BY167" i="1"/>
  <c r="CA167" i="1"/>
  <c r="BY168" i="1"/>
  <c r="CA168" i="1"/>
  <c r="BY188" i="1"/>
  <c r="CA188" i="1"/>
  <c r="BY268" i="1"/>
  <c r="CA268" i="1"/>
  <c r="BY189" i="1"/>
  <c r="CA189" i="1"/>
  <c r="BY186" i="1"/>
  <c r="CA186" i="1"/>
  <c r="BY204" i="1"/>
  <c r="CA204" i="1"/>
  <c r="BY202" i="1"/>
  <c r="CA202" i="1"/>
  <c r="BY182" i="1"/>
  <c r="CA182" i="1"/>
  <c r="BY185" i="1"/>
  <c r="CA185" i="1"/>
  <c r="BY194" i="1"/>
  <c r="CA194" i="1"/>
  <c r="BY224" i="1"/>
  <c r="CA224" i="1"/>
  <c r="BY158" i="1"/>
  <c r="CA158" i="1"/>
  <c r="CA92" i="1"/>
  <c r="BH245" i="1"/>
  <c r="BI245" i="1"/>
  <c r="BK245" i="1"/>
  <c r="BH212" i="1"/>
  <c r="BI212" i="1"/>
  <c r="BK212" i="1"/>
  <c r="BH238" i="1"/>
  <c r="BI238" i="1"/>
  <c r="BK238" i="1"/>
  <c r="BH247" i="1"/>
  <c r="BI247" i="1"/>
  <c r="BK247" i="1"/>
  <c r="BH253" i="1"/>
  <c r="BI253" i="1"/>
  <c r="BK253" i="1"/>
  <c r="BH170" i="1"/>
  <c r="BI170" i="1"/>
  <c r="BK170" i="1"/>
  <c r="BH229" i="1"/>
  <c r="BI229" i="1"/>
  <c r="BK229" i="1"/>
  <c r="BH240" i="1"/>
  <c r="BI240" i="1"/>
  <c r="BK240" i="1"/>
  <c r="BH263" i="1"/>
  <c r="BI263" i="1"/>
  <c r="BK263" i="1"/>
  <c r="BH241" i="1"/>
  <c r="BI241" i="1"/>
  <c r="BK241" i="1"/>
  <c r="BH207" i="1"/>
  <c r="BI207" i="1"/>
  <c r="BK207" i="1"/>
  <c r="BH223" i="1"/>
  <c r="BI223" i="1"/>
  <c r="BK223" i="1"/>
  <c r="BH210" i="1"/>
  <c r="BI210" i="1"/>
  <c r="BK210" i="1"/>
  <c r="BH255" i="1"/>
  <c r="BI255" i="1"/>
  <c r="BK255" i="1"/>
  <c r="BH265" i="1"/>
  <c r="BI265" i="1"/>
  <c r="BK265" i="1"/>
  <c r="BH235" i="1"/>
  <c r="BI235" i="1"/>
  <c r="BK235" i="1"/>
  <c r="BH169" i="1"/>
  <c r="BI169" i="1"/>
  <c r="BK169" i="1"/>
  <c r="BH266" i="1"/>
  <c r="BI266" i="1"/>
  <c r="BK266" i="1"/>
  <c r="BH252" i="1"/>
  <c r="BI252" i="1"/>
  <c r="BK252" i="1"/>
  <c r="BH201" i="1"/>
  <c r="BI201" i="1"/>
  <c r="BK201" i="1"/>
  <c r="BH215" i="1"/>
  <c r="BI215" i="1"/>
  <c r="BK215" i="1"/>
  <c r="BH249" i="1"/>
  <c r="BI249" i="1"/>
  <c r="BK249" i="1"/>
  <c r="BH199" i="1"/>
  <c r="BI199" i="1"/>
  <c r="BK199" i="1"/>
  <c r="BH242" i="1"/>
  <c r="BI242" i="1"/>
  <c r="BK242" i="1"/>
  <c r="BH248" i="1"/>
  <c r="BI248" i="1"/>
  <c r="BK248" i="1"/>
  <c r="BH228" i="1"/>
  <c r="BI228" i="1"/>
  <c r="BK228" i="1"/>
  <c r="BH159" i="1"/>
  <c r="BI159" i="1"/>
  <c r="BK159" i="1"/>
  <c r="BH264" i="1"/>
  <c r="BI264" i="1"/>
  <c r="BK264" i="1"/>
  <c r="BH233" i="1"/>
  <c r="BI233" i="1"/>
  <c r="BK233" i="1"/>
  <c r="BH171" i="1"/>
  <c r="BI171" i="1"/>
  <c r="BK171" i="1"/>
  <c r="BH172" i="1"/>
  <c r="BI172" i="1"/>
  <c r="BK172" i="1"/>
  <c r="BH179" i="1"/>
  <c r="BI179" i="1"/>
  <c r="BK179" i="1"/>
  <c r="BH183" i="1"/>
  <c r="BI183" i="1"/>
  <c r="BK183" i="1"/>
  <c r="BH256" i="1"/>
  <c r="BI256" i="1"/>
  <c r="BK256" i="1"/>
  <c r="BH261" i="1"/>
  <c r="BI261" i="1"/>
  <c r="BK261" i="1"/>
  <c r="BH216" i="1"/>
  <c r="BI216" i="1"/>
  <c r="BK216" i="1"/>
  <c r="BH262" i="1"/>
  <c r="BI262" i="1"/>
  <c r="BK262" i="1"/>
  <c r="BH192" i="1"/>
  <c r="BI192" i="1"/>
  <c r="BK192" i="1"/>
  <c r="BH209" i="1"/>
  <c r="BI209" i="1"/>
  <c r="BK209" i="1"/>
  <c r="BH162" i="1"/>
  <c r="BI162" i="1"/>
  <c r="BK162" i="1"/>
  <c r="BH219" i="1"/>
  <c r="BI219" i="1"/>
  <c r="BK219" i="1"/>
  <c r="BH227" i="1"/>
  <c r="BI227" i="1"/>
  <c r="BK227" i="1"/>
  <c r="BH166" i="1"/>
  <c r="BI166" i="1"/>
  <c r="BK166" i="1"/>
  <c r="BH211" i="1"/>
  <c r="BI211" i="1"/>
  <c r="BK211" i="1"/>
  <c r="BH218" i="1"/>
  <c r="BI218" i="1"/>
  <c r="BK218" i="1"/>
  <c r="BH200" i="1"/>
  <c r="BI200" i="1"/>
  <c r="BK200" i="1"/>
  <c r="BH220" i="1"/>
  <c r="BI220" i="1"/>
  <c r="BK220" i="1"/>
  <c r="BH187" i="1"/>
  <c r="BI187" i="1"/>
  <c r="BK187" i="1"/>
  <c r="BH197" i="1"/>
  <c r="BI197" i="1"/>
  <c r="BK197" i="1"/>
  <c r="BH225" i="1"/>
  <c r="BI225" i="1"/>
  <c r="BK225" i="1"/>
  <c r="BH190" i="1"/>
  <c r="BI190" i="1"/>
  <c r="BK190" i="1"/>
  <c r="BH226" i="1"/>
  <c r="BI226" i="1"/>
  <c r="BK226" i="1"/>
  <c r="BH243" i="1"/>
  <c r="BI243" i="1"/>
  <c r="BK243" i="1"/>
  <c r="BH203" i="1"/>
  <c r="BI203" i="1"/>
  <c r="BK203" i="1"/>
  <c r="BH234" i="1"/>
  <c r="BI234" i="1"/>
  <c r="BK234" i="1"/>
  <c r="BH161" i="1"/>
  <c r="BI161" i="1"/>
  <c r="BK161" i="1"/>
  <c r="BH178" i="1"/>
  <c r="BI178" i="1"/>
  <c r="BK178" i="1"/>
  <c r="BH191" i="1"/>
  <c r="BI191" i="1"/>
  <c r="BK191" i="1"/>
  <c r="BH193" i="1"/>
  <c r="BI193" i="1"/>
  <c r="BK193" i="1"/>
  <c r="BH217" i="1"/>
  <c r="BI217" i="1"/>
  <c r="BK217" i="1"/>
  <c r="BH257" i="1"/>
  <c r="BI257" i="1"/>
  <c r="BK257" i="1"/>
  <c r="BH260" i="1"/>
  <c r="BI260" i="1"/>
  <c r="BK260" i="1"/>
  <c r="BH165" i="1"/>
  <c r="BI165" i="1"/>
  <c r="BK165" i="1"/>
  <c r="BH205" i="1"/>
  <c r="BI205" i="1"/>
  <c r="BK205" i="1"/>
  <c r="BH175" i="1"/>
  <c r="BI175" i="1"/>
  <c r="BK175" i="1"/>
  <c r="BH208" i="1"/>
  <c r="BI208" i="1"/>
  <c r="BK208" i="1"/>
  <c r="BH237" i="1"/>
  <c r="BI237" i="1"/>
  <c r="BK237" i="1"/>
  <c r="BH181" i="1"/>
  <c r="BI181" i="1"/>
  <c r="BK181" i="1"/>
  <c r="BH173" i="1"/>
  <c r="BI173" i="1"/>
  <c r="BK173" i="1"/>
  <c r="BH176" i="1"/>
  <c r="BI176" i="1"/>
  <c r="BK176" i="1"/>
  <c r="BH160" i="1"/>
  <c r="BI160" i="1"/>
  <c r="BK160" i="1"/>
  <c r="BH259" i="1"/>
  <c r="BI259" i="1"/>
  <c r="BK259" i="1"/>
  <c r="BH267" i="1"/>
  <c r="BI267" i="1"/>
  <c r="BK267" i="1"/>
  <c r="BH180" i="1"/>
  <c r="BI180" i="1"/>
  <c r="BK180" i="1"/>
  <c r="BH177" i="1"/>
  <c r="BI177" i="1"/>
  <c r="BK177" i="1"/>
  <c r="BH221" i="1"/>
  <c r="BI221" i="1"/>
  <c r="BK221" i="1"/>
  <c r="BH163" i="1"/>
  <c r="BI163" i="1"/>
  <c r="BK163" i="1"/>
  <c r="BH164" i="1"/>
  <c r="BI164" i="1"/>
  <c r="BK164" i="1"/>
  <c r="BH196" i="1"/>
  <c r="BI196" i="1"/>
  <c r="BK196" i="1"/>
  <c r="BH184" i="1"/>
  <c r="BI184" i="1"/>
  <c r="BK184" i="1"/>
  <c r="BH174" i="1"/>
  <c r="BI174" i="1"/>
  <c r="BK174" i="1"/>
  <c r="BH195" i="1"/>
  <c r="BI195" i="1"/>
  <c r="BK195" i="1"/>
  <c r="BH167" i="1"/>
  <c r="BI167" i="1"/>
  <c r="BK167" i="1"/>
  <c r="BH168" i="1"/>
  <c r="BI168" i="1"/>
  <c r="BK168" i="1"/>
  <c r="BH188" i="1"/>
  <c r="BI188" i="1"/>
  <c r="BK188" i="1"/>
  <c r="BH268" i="1"/>
  <c r="BI268" i="1"/>
  <c r="BK268" i="1"/>
  <c r="BH189" i="1"/>
  <c r="BI189" i="1"/>
  <c r="BK189" i="1"/>
  <c r="BH186" i="1"/>
  <c r="BI186" i="1"/>
  <c r="BK186" i="1"/>
  <c r="BH204" i="1"/>
  <c r="BI204" i="1"/>
  <c r="BK204" i="1"/>
  <c r="BH202" i="1"/>
  <c r="BI202" i="1"/>
  <c r="BK202" i="1"/>
  <c r="BH182" i="1"/>
  <c r="BI182" i="1"/>
  <c r="BK182" i="1"/>
  <c r="BH185" i="1"/>
  <c r="BI185" i="1"/>
  <c r="BK185" i="1"/>
  <c r="BH194" i="1"/>
  <c r="BI194" i="1"/>
  <c r="BK194" i="1"/>
  <c r="BH224" i="1"/>
  <c r="BI224" i="1"/>
  <c r="BK224" i="1"/>
  <c r="BH158" i="1"/>
  <c r="BI158" i="1"/>
  <c r="BK158" i="1"/>
  <c r="BH236" i="1"/>
  <c r="BI236" i="1"/>
  <c r="BK236" i="1"/>
  <c r="BH231" i="1"/>
  <c r="BI231" i="1"/>
  <c r="BK231" i="1"/>
  <c r="BH232" i="1"/>
  <c r="BI232" i="1"/>
  <c r="BK232" i="1"/>
  <c r="BH258" i="1"/>
  <c r="BI258" i="1"/>
  <c r="BK258" i="1"/>
  <c r="BH198" i="1"/>
  <c r="BI198" i="1"/>
  <c r="BK198" i="1"/>
  <c r="BH206" i="1"/>
  <c r="BI206" i="1"/>
  <c r="BK206" i="1"/>
  <c r="BH246" i="1"/>
  <c r="BI246" i="1"/>
  <c r="BK246" i="1"/>
  <c r="BH222" i="1"/>
  <c r="BI222" i="1"/>
  <c r="BK222" i="1"/>
  <c r="BH230" i="1"/>
  <c r="BI230" i="1"/>
  <c r="BK230" i="1"/>
  <c r="BH254" i="1"/>
  <c r="BI254" i="1"/>
  <c r="BK254" i="1"/>
  <c r="BH250" i="1"/>
  <c r="BI250" i="1"/>
  <c r="BK250" i="1"/>
  <c r="BH213" i="1"/>
  <c r="BI213" i="1"/>
  <c r="BK213" i="1"/>
  <c r="BH239" i="1"/>
  <c r="BI239" i="1"/>
  <c r="BK239" i="1"/>
  <c r="BH251" i="1"/>
  <c r="BI251" i="1"/>
  <c r="BK251" i="1"/>
  <c r="BH214" i="1"/>
  <c r="BI214" i="1"/>
  <c r="BK214" i="1"/>
  <c r="BK270" i="1"/>
  <c r="BI270" i="1"/>
  <c r="BH270" i="1"/>
  <c r="BY92" i="1"/>
  <c r="BV245" i="1"/>
  <c r="BV212" i="1"/>
  <c r="BV238" i="1"/>
  <c r="BV247" i="1"/>
  <c r="BV253" i="1"/>
  <c r="BV170" i="1"/>
  <c r="BV229" i="1"/>
  <c r="BV240" i="1"/>
  <c r="BV263" i="1"/>
  <c r="BV241" i="1"/>
  <c r="BV207" i="1"/>
  <c r="BV223" i="1"/>
  <c r="BV210" i="1"/>
  <c r="BV255" i="1"/>
  <c r="BV265" i="1"/>
  <c r="BV235" i="1"/>
  <c r="BV169" i="1"/>
  <c r="BV266" i="1"/>
  <c r="BV252" i="1"/>
  <c r="BV201" i="1"/>
  <c r="BV215" i="1"/>
  <c r="BV249" i="1"/>
  <c r="BV199" i="1"/>
  <c r="BV242" i="1"/>
  <c r="BV248" i="1"/>
  <c r="BV228" i="1"/>
  <c r="BV159" i="1"/>
  <c r="BV264" i="1"/>
  <c r="BV233" i="1"/>
  <c r="BV171" i="1"/>
  <c r="BV172" i="1"/>
  <c r="BV179" i="1"/>
  <c r="BV183" i="1"/>
  <c r="BV256" i="1"/>
  <c r="BV261" i="1"/>
  <c r="BV216" i="1"/>
  <c r="BV262" i="1"/>
  <c r="BV192" i="1"/>
  <c r="BV209" i="1"/>
  <c r="BV162" i="1"/>
  <c r="BV219" i="1"/>
  <c r="BV227" i="1"/>
  <c r="BV166" i="1"/>
  <c r="BV211" i="1"/>
  <c r="BV218" i="1"/>
  <c r="BV200" i="1"/>
  <c r="BV220" i="1"/>
  <c r="BV187" i="1"/>
  <c r="BV197" i="1"/>
  <c r="BV225" i="1"/>
  <c r="BV190" i="1"/>
  <c r="BV226" i="1"/>
  <c r="BV243" i="1"/>
  <c r="BV203" i="1"/>
  <c r="BV234" i="1"/>
  <c r="BV161" i="1"/>
  <c r="BV178" i="1"/>
  <c r="BV191" i="1"/>
  <c r="BV193" i="1"/>
  <c r="BV217" i="1"/>
  <c r="BV257" i="1"/>
  <c r="BV260" i="1"/>
  <c r="BV165" i="1"/>
  <c r="BV205" i="1"/>
  <c r="BV175" i="1"/>
  <c r="BV208" i="1"/>
  <c r="BV237" i="1"/>
  <c r="BV181" i="1"/>
  <c r="BV173" i="1"/>
  <c r="BV176" i="1"/>
  <c r="BV160" i="1"/>
  <c r="BV259" i="1"/>
  <c r="BV267" i="1"/>
  <c r="BV180" i="1"/>
  <c r="BV177" i="1"/>
  <c r="BV221" i="1"/>
  <c r="BV163" i="1"/>
  <c r="BV164" i="1"/>
  <c r="BV196" i="1"/>
  <c r="BV184" i="1"/>
  <c r="BV174" i="1"/>
  <c r="BV195" i="1"/>
  <c r="BV167" i="1"/>
  <c r="BV168" i="1"/>
  <c r="BV188" i="1"/>
  <c r="BV268" i="1"/>
  <c r="BV189" i="1"/>
  <c r="BV186" i="1"/>
  <c r="BV204" i="1"/>
  <c r="BV202" i="1"/>
  <c r="BV182" i="1"/>
  <c r="BV185" i="1"/>
  <c r="BV194" i="1"/>
  <c r="BV224" i="1"/>
  <c r="BV158" i="1"/>
  <c r="BV236" i="1"/>
  <c r="BV231" i="1"/>
  <c r="BV232" i="1"/>
  <c r="BV258" i="1"/>
  <c r="BV198" i="1"/>
  <c r="BV206" i="1"/>
  <c r="BV246" i="1"/>
  <c r="BV222" i="1"/>
  <c r="BV230" i="1"/>
  <c r="BV254" i="1"/>
  <c r="BV250" i="1"/>
  <c r="BV213" i="1"/>
  <c r="BV239" i="1"/>
  <c r="BV251" i="1"/>
  <c r="BV214" i="1"/>
  <c r="BV270" i="1"/>
  <c r="BV144" i="1"/>
  <c r="BV150" i="1"/>
  <c r="BV85" i="1"/>
  <c r="BV131" i="1"/>
  <c r="BV111" i="1"/>
  <c r="BV117" i="1"/>
  <c r="BV96" i="1"/>
  <c r="BV148" i="1"/>
  <c r="BV151" i="1"/>
  <c r="BV100" i="1"/>
  <c r="BV103" i="1"/>
  <c r="BV114" i="1"/>
  <c r="BV124" i="1"/>
  <c r="BV142" i="1"/>
  <c r="BV146" i="1"/>
  <c r="BV157" i="1"/>
  <c r="BV79" i="1"/>
  <c r="BV126" i="1"/>
  <c r="BV98" i="1"/>
  <c r="BV136" i="1"/>
  <c r="BV88" i="1"/>
  <c r="BV113" i="1"/>
  <c r="BV119" i="1"/>
  <c r="BV97" i="1"/>
  <c r="BV118" i="1"/>
  <c r="BV139" i="1"/>
  <c r="BV130" i="1"/>
  <c r="BV147" i="1"/>
  <c r="BV91" i="1"/>
  <c r="BV109" i="1"/>
  <c r="BV84" i="1"/>
  <c r="BV138" i="1"/>
  <c r="BV128" i="1"/>
  <c r="BV101" i="1"/>
  <c r="BV156" i="1"/>
  <c r="BV83" i="1"/>
  <c r="BV122" i="1"/>
  <c r="BV115" i="1"/>
  <c r="BV107" i="1"/>
  <c r="BV110" i="1"/>
  <c r="BV102" i="1"/>
  <c r="BV152" i="1"/>
  <c r="BV108" i="1"/>
  <c r="BV99" i="1"/>
  <c r="BI144" i="1"/>
  <c r="BK144" i="1"/>
  <c r="BI150" i="1"/>
  <c r="BK150" i="1"/>
  <c r="BI85" i="1"/>
  <c r="BK85" i="1"/>
  <c r="BI131" i="1"/>
  <c r="BK131" i="1"/>
  <c r="BI111" i="1"/>
  <c r="BK111" i="1"/>
  <c r="BI117" i="1"/>
  <c r="BK117" i="1"/>
  <c r="BI96" i="1"/>
  <c r="BK96" i="1"/>
  <c r="BI148" i="1"/>
  <c r="BK148" i="1"/>
  <c r="BI151" i="1"/>
  <c r="BK151" i="1"/>
  <c r="BI100" i="1"/>
  <c r="BK100" i="1"/>
  <c r="BI103" i="1"/>
  <c r="BK103" i="1"/>
  <c r="BI114" i="1"/>
  <c r="BK114" i="1"/>
  <c r="BI124" i="1"/>
  <c r="BK124" i="1"/>
  <c r="BI142" i="1"/>
  <c r="BK142" i="1"/>
  <c r="BI146" i="1"/>
  <c r="BK146" i="1"/>
  <c r="BI157" i="1"/>
  <c r="BK157" i="1"/>
  <c r="BI79" i="1"/>
  <c r="BK79" i="1"/>
  <c r="BI126" i="1"/>
  <c r="BK126" i="1"/>
  <c r="BI98" i="1"/>
  <c r="BK98" i="1"/>
  <c r="BI136" i="1"/>
  <c r="BK136" i="1"/>
  <c r="BI88" i="1"/>
  <c r="BK88" i="1"/>
  <c r="BI113" i="1"/>
  <c r="BK113" i="1"/>
  <c r="BI119" i="1"/>
  <c r="BK119" i="1"/>
  <c r="BI97" i="1"/>
  <c r="BK97" i="1"/>
  <c r="BI118" i="1"/>
  <c r="BK118" i="1"/>
  <c r="BI139" i="1"/>
  <c r="BK139" i="1"/>
  <c r="BI130" i="1"/>
  <c r="BK130" i="1"/>
  <c r="BI147" i="1"/>
  <c r="BK147" i="1"/>
  <c r="BI91" i="1"/>
  <c r="BK91" i="1"/>
  <c r="BI109" i="1"/>
  <c r="BK109" i="1"/>
  <c r="BI84" i="1"/>
  <c r="BK84" i="1"/>
  <c r="BI138" i="1"/>
  <c r="BK138" i="1"/>
  <c r="BI128" i="1"/>
  <c r="BK128" i="1"/>
  <c r="BI101" i="1"/>
  <c r="BK101" i="1"/>
  <c r="BI156" i="1"/>
  <c r="BK156" i="1"/>
  <c r="BI83" i="1"/>
  <c r="BK83" i="1"/>
  <c r="BI122" i="1"/>
  <c r="BK122" i="1"/>
  <c r="BI115" i="1"/>
  <c r="BK115" i="1"/>
  <c r="BI107" i="1"/>
  <c r="BK107" i="1"/>
  <c r="BI110" i="1"/>
  <c r="BK110" i="1"/>
  <c r="BI102" i="1"/>
  <c r="BK102" i="1"/>
  <c r="BI152" i="1"/>
  <c r="BK152" i="1"/>
  <c r="BI108" i="1"/>
  <c r="BK108" i="1"/>
  <c r="BK99" i="1"/>
  <c r="BI99" i="1"/>
  <c r="BN236" i="1" l="1"/>
  <c r="BN231" i="1"/>
  <c r="BN232" i="1"/>
  <c r="BN258" i="1"/>
  <c r="BN198" i="1"/>
  <c r="BN206" i="1"/>
  <c r="BN246" i="1"/>
  <c r="BN222" i="1"/>
  <c r="BN230" i="1"/>
  <c r="BN254" i="1"/>
  <c r="BN250" i="1"/>
  <c r="BN213" i="1"/>
  <c r="BN239" i="1"/>
  <c r="BN251" i="1"/>
  <c r="BN214" i="1"/>
  <c r="BN245" i="1"/>
  <c r="BN212" i="1"/>
  <c r="BN238" i="1"/>
  <c r="BN247" i="1"/>
  <c r="BN253" i="1"/>
  <c r="BN170" i="1"/>
  <c r="BN229" i="1"/>
  <c r="BN240" i="1"/>
  <c r="BN263" i="1"/>
  <c r="BN241" i="1"/>
  <c r="BN207" i="1"/>
  <c r="BN223" i="1"/>
  <c r="BN210" i="1"/>
  <c r="BN255" i="1"/>
  <c r="BN265" i="1"/>
  <c r="BN235" i="1"/>
  <c r="BN169" i="1"/>
  <c r="BN266" i="1"/>
  <c r="BN252" i="1"/>
  <c r="BN201" i="1"/>
  <c r="BN215" i="1"/>
  <c r="BN249" i="1"/>
  <c r="BN199" i="1"/>
  <c r="BN242" i="1"/>
  <c r="BN248" i="1"/>
  <c r="BN228" i="1"/>
  <c r="BN159" i="1"/>
  <c r="BN264" i="1"/>
  <c r="BN233" i="1"/>
  <c r="BN171" i="1"/>
  <c r="BN172" i="1"/>
  <c r="BN179" i="1"/>
  <c r="BN183" i="1"/>
  <c r="BN256" i="1"/>
  <c r="BN261" i="1"/>
  <c r="BN216" i="1"/>
  <c r="BN262" i="1"/>
  <c r="BN192" i="1"/>
  <c r="BN209" i="1"/>
  <c r="BN162" i="1"/>
  <c r="BN219" i="1"/>
  <c r="BN227" i="1"/>
  <c r="BN166" i="1"/>
  <c r="BN211" i="1"/>
  <c r="BN218" i="1"/>
  <c r="BN200" i="1"/>
  <c r="BN220" i="1"/>
  <c r="BN187" i="1"/>
  <c r="BN197" i="1"/>
  <c r="BN225" i="1"/>
  <c r="BN190" i="1"/>
  <c r="BN226" i="1"/>
  <c r="BN243" i="1"/>
  <c r="BN203" i="1"/>
  <c r="BN234" i="1"/>
  <c r="BN161" i="1"/>
  <c r="BN178" i="1"/>
  <c r="BN191" i="1"/>
  <c r="BN193" i="1"/>
  <c r="BN217" i="1"/>
  <c r="BN257" i="1"/>
  <c r="BN260" i="1"/>
  <c r="BN165" i="1"/>
  <c r="BN205" i="1"/>
  <c r="BN175" i="1"/>
  <c r="BN208" i="1"/>
  <c r="BN237" i="1"/>
  <c r="BN181" i="1"/>
  <c r="BN173" i="1"/>
  <c r="BN176" i="1"/>
  <c r="BN160" i="1"/>
  <c r="BN259" i="1"/>
  <c r="BN267" i="1"/>
  <c r="BN180" i="1"/>
  <c r="BN177" i="1"/>
  <c r="BN221" i="1"/>
  <c r="BN163" i="1"/>
  <c r="BN164" i="1"/>
  <c r="BN196" i="1"/>
  <c r="BN184" i="1"/>
  <c r="BN174" i="1"/>
  <c r="BN195" i="1"/>
  <c r="BN167" i="1"/>
  <c r="BN168" i="1"/>
  <c r="BN188" i="1"/>
  <c r="BN268" i="1"/>
  <c r="BN189" i="1"/>
  <c r="BN186" i="1"/>
  <c r="BN204" i="1"/>
  <c r="BN202" i="1"/>
  <c r="BN182" i="1"/>
  <c r="BN185" i="1"/>
  <c r="BN194" i="1"/>
  <c r="BN224" i="1"/>
  <c r="BN158" i="1"/>
  <c r="BN270" i="1"/>
  <c r="BN138" i="1"/>
  <c r="BN128" i="1"/>
  <c r="BN101" i="1"/>
  <c r="BN156" i="1"/>
  <c r="BN83" i="1"/>
  <c r="BN122" i="1"/>
  <c r="BN115" i="1"/>
  <c r="BN107" i="1"/>
  <c r="BN110" i="1"/>
  <c r="BN102" i="1"/>
  <c r="BN152" i="1"/>
  <c r="BN108" i="1"/>
  <c r="BN144" i="1"/>
  <c r="BN150" i="1"/>
  <c r="BN85" i="1"/>
  <c r="BN131" i="1"/>
  <c r="BN111" i="1"/>
  <c r="BN117" i="1"/>
  <c r="BN96" i="1"/>
  <c r="BN148" i="1"/>
  <c r="BN151" i="1"/>
  <c r="BN100" i="1"/>
  <c r="BN103" i="1"/>
  <c r="BN114" i="1"/>
  <c r="BN124" i="1"/>
  <c r="BN142" i="1"/>
  <c r="BN146" i="1"/>
  <c r="BN157" i="1"/>
  <c r="BN79" i="1"/>
  <c r="BN126" i="1"/>
  <c r="BN98" i="1"/>
  <c r="BN136" i="1"/>
  <c r="BN88" i="1"/>
  <c r="BN113" i="1"/>
  <c r="BN119" i="1"/>
  <c r="BN97" i="1"/>
  <c r="BN118" i="1"/>
  <c r="BN139" i="1"/>
  <c r="BN130" i="1"/>
  <c r="BN147" i="1"/>
  <c r="BN91" i="1"/>
  <c r="BN109" i="1"/>
  <c r="BN99" i="1"/>
  <c r="BN84" i="1"/>
  <c r="BO194" i="1" l="1"/>
  <c r="BW194" i="1" s="1"/>
  <c r="CG194" i="1"/>
  <c r="BO265" i="1"/>
  <c r="BW265" i="1" s="1"/>
  <c r="CG265" i="1"/>
  <c r="BO165" i="1"/>
  <c r="BW165" i="1" s="1"/>
  <c r="CG165" i="1"/>
  <c r="BO150" i="1"/>
  <c r="BW150" i="1" s="1"/>
  <c r="CG150" i="1"/>
  <c r="BO210" i="1"/>
  <c r="BW210" i="1" s="1"/>
  <c r="CG210" i="1"/>
  <c r="BO146" i="1"/>
  <c r="BW146" i="1" s="1"/>
  <c r="CG146" i="1"/>
  <c r="BO172" i="1"/>
  <c r="BW172" i="1" s="1"/>
  <c r="CG172" i="1"/>
  <c r="BO260" i="1"/>
  <c r="BW260" i="1" s="1"/>
  <c r="CG260" i="1"/>
  <c r="BO213" i="1"/>
  <c r="BW213" i="1" s="1"/>
  <c r="CG213" i="1"/>
  <c r="BO108" i="1"/>
  <c r="BW108" i="1" s="1"/>
  <c r="CG108" i="1"/>
  <c r="BO211" i="1"/>
  <c r="BW211" i="1" s="1"/>
  <c r="CG211" i="1"/>
  <c r="BO191" i="1"/>
  <c r="BW191" i="1" s="1"/>
  <c r="CG191" i="1"/>
  <c r="BO98" i="1"/>
  <c r="BW98" i="1" s="1"/>
  <c r="CG98" i="1"/>
  <c r="BO218" i="1"/>
  <c r="BW218" i="1" s="1"/>
  <c r="CG218" i="1"/>
  <c r="BO84" i="1"/>
  <c r="BW84" i="1" s="1"/>
  <c r="CG84" i="1"/>
  <c r="BO91" i="1"/>
  <c r="BW91" i="1" s="1"/>
  <c r="CG91" i="1"/>
  <c r="BO251" i="1"/>
  <c r="BW251" i="1" s="1"/>
  <c r="CG251" i="1"/>
  <c r="BO233" i="1"/>
  <c r="BW233" i="1" s="1"/>
  <c r="CG233" i="1"/>
  <c r="BO157" i="1"/>
  <c r="BW157" i="1" s="1"/>
  <c r="CG157" i="1"/>
  <c r="BO177" i="1"/>
  <c r="BW177" i="1" s="1"/>
  <c r="CG177" i="1"/>
  <c r="BO220" i="1"/>
  <c r="BW220" i="1" s="1"/>
  <c r="CG220" i="1"/>
  <c r="BO171" i="1"/>
  <c r="BW171" i="1" s="1"/>
  <c r="CG171" i="1"/>
  <c r="BO79" i="1"/>
  <c r="BW79" i="1" s="1"/>
  <c r="CG79" i="1"/>
  <c r="BO223" i="1"/>
  <c r="BW223" i="1" s="1"/>
  <c r="CG223" i="1"/>
  <c r="BO193" i="1"/>
  <c r="BW193" i="1" s="1"/>
  <c r="CG193" i="1"/>
  <c r="BO109" i="1"/>
  <c r="BW109" i="1" s="1"/>
  <c r="CG109" i="1"/>
  <c r="BO227" i="1"/>
  <c r="BW227" i="1" s="1"/>
  <c r="CG227" i="1"/>
  <c r="BO110" i="1"/>
  <c r="BW110" i="1" s="1"/>
  <c r="CG110" i="1"/>
  <c r="BO178" i="1"/>
  <c r="BW178" i="1" s="1"/>
  <c r="CG178" i="1"/>
  <c r="BO107" i="1"/>
  <c r="BW107" i="1" s="1"/>
  <c r="CG107" i="1"/>
  <c r="BO246" i="1"/>
  <c r="BW246" i="1" s="1"/>
  <c r="CG246" i="1"/>
  <c r="BO115" i="1"/>
  <c r="BW115" i="1" s="1"/>
  <c r="CG115" i="1"/>
  <c r="BO209" i="1"/>
  <c r="BW209" i="1" s="1"/>
  <c r="CG209" i="1"/>
  <c r="BO203" i="1"/>
  <c r="BW203" i="1" s="1"/>
  <c r="CG203" i="1"/>
  <c r="BO170" i="1"/>
  <c r="BW170" i="1" s="1"/>
  <c r="CG170" i="1"/>
  <c r="BO198" i="1"/>
  <c r="BW198" i="1" s="1"/>
  <c r="CG198" i="1"/>
  <c r="BO254" i="1"/>
  <c r="BW254" i="1" s="1"/>
  <c r="CG254" i="1"/>
  <c r="BO224" i="1"/>
  <c r="BW224" i="1" s="1"/>
  <c r="CG224" i="1"/>
  <c r="BO239" i="1"/>
  <c r="BW239" i="1" s="1"/>
  <c r="CG239" i="1"/>
  <c r="BO264" i="1"/>
  <c r="BW264" i="1" s="1"/>
  <c r="CG264" i="1"/>
  <c r="BO166" i="1"/>
  <c r="BW166" i="1" s="1"/>
  <c r="CG166" i="1"/>
  <c r="BO180" i="1"/>
  <c r="BW180" i="1" s="1"/>
  <c r="CG180" i="1"/>
  <c r="BO124" i="1"/>
  <c r="BW124" i="1" s="1"/>
  <c r="CG124" i="1"/>
  <c r="BO263" i="1"/>
  <c r="BW263" i="1" s="1"/>
  <c r="CG263" i="1"/>
  <c r="BO259" i="1"/>
  <c r="BW259" i="1" s="1"/>
  <c r="CG259" i="1"/>
  <c r="BO162" i="1"/>
  <c r="BW162" i="1" s="1"/>
  <c r="CG162" i="1"/>
  <c r="BO189" i="1"/>
  <c r="BW189" i="1" s="1"/>
  <c r="CG189" i="1"/>
  <c r="BO234" i="1"/>
  <c r="BW234" i="1" s="1"/>
  <c r="CG234" i="1"/>
  <c r="BO139" i="1"/>
  <c r="BW139" i="1" s="1"/>
  <c r="CG139" i="1"/>
  <c r="BO268" i="1"/>
  <c r="BW268" i="1" s="1"/>
  <c r="CG268" i="1"/>
  <c r="BO151" i="1"/>
  <c r="BW151" i="1" s="1"/>
  <c r="CG151" i="1"/>
  <c r="BO181" i="1"/>
  <c r="BW181" i="1" s="1"/>
  <c r="CG181" i="1"/>
  <c r="BO247" i="1"/>
  <c r="BW247" i="1" s="1"/>
  <c r="CG247" i="1"/>
  <c r="BO232" i="1"/>
  <c r="BW232" i="1" s="1"/>
  <c r="CG232" i="1"/>
  <c r="BO159" i="1"/>
  <c r="BW159" i="1" s="1"/>
  <c r="CG159" i="1"/>
  <c r="BO158" i="1"/>
  <c r="BW158" i="1" s="1"/>
  <c r="CG158" i="1"/>
  <c r="BO164" i="1"/>
  <c r="BW164" i="1" s="1"/>
  <c r="CG164" i="1"/>
  <c r="BO257" i="1"/>
  <c r="BW257" i="1" s="1"/>
  <c r="CG257" i="1"/>
  <c r="BO221" i="1"/>
  <c r="BW221" i="1" s="1"/>
  <c r="CG221" i="1"/>
  <c r="BO207" i="1"/>
  <c r="BW207" i="1" s="1"/>
  <c r="CG207" i="1"/>
  <c r="BO202" i="1"/>
  <c r="BW202" i="1" s="1"/>
  <c r="CG202" i="1"/>
  <c r="BO241" i="1"/>
  <c r="BW241" i="1" s="1"/>
  <c r="CG241" i="1"/>
  <c r="BO222" i="1"/>
  <c r="BW222" i="1" s="1"/>
  <c r="CG222" i="1"/>
  <c r="BO186" i="1"/>
  <c r="BW186" i="1" s="1"/>
  <c r="CG186" i="1"/>
  <c r="BO240" i="1"/>
  <c r="BW240" i="1" s="1"/>
  <c r="CG240" i="1"/>
  <c r="BO160" i="1"/>
  <c r="BW160" i="1" s="1"/>
  <c r="CG160" i="1"/>
  <c r="BO199" i="1"/>
  <c r="BW199" i="1" s="1"/>
  <c r="CG199" i="1"/>
  <c r="BO100" i="1"/>
  <c r="BW100" i="1" s="1"/>
  <c r="CG100" i="1"/>
  <c r="BO192" i="1"/>
  <c r="BW192" i="1" s="1"/>
  <c r="CG192" i="1"/>
  <c r="BO118" i="1"/>
  <c r="BW118" i="1" s="1"/>
  <c r="CG118" i="1"/>
  <c r="BO173" i="1"/>
  <c r="BW173" i="1" s="1"/>
  <c r="CG173" i="1"/>
  <c r="BO215" i="1"/>
  <c r="BW215" i="1" s="1"/>
  <c r="CG215" i="1"/>
  <c r="BO148" i="1"/>
  <c r="BW148" i="1" s="1"/>
  <c r="CG148" i="1"/>
  <c r="BO201" i="1"/>
  <c r="BW201" i="1" s="1"/>
  <c r="CG201" i="1"/>
  <c r="BO117" i="1"/>
  <c r="BW117" i="1" s="1"/>
  <c r="CG117" i="1"/>
  <c r="BO85" i="1"/>
  <c r="BW85" i="1" s="1"/>
  <c r="CG85" i="1"/>
  <c r="BO255" i="1"/>
  <c r="BW255" i="1" s="1"/>
  <c r="CG255" i="1"/>
  <c r="BO144" i="1"/>
  <c r="BW144" i="1" s="1"/>
  <c r="CG144" i="1"/>
  <c r="BO217" i="1"/>
  <c r="BW217" i="1" s="1"/>
  <c r="CG217" i="1"/>
  <c r="BO99" i="1"/>
  <c r="BW99" i="1" s="1"/>
  <c r="CG99" i="1"/>
  <c r="BO152" i="1"/>
  <c r="BW152" i="1" s="1"/>
  <c r="CG152" i="1"/>
  <c r="BO102" i="1"/>
  <c r="BW102" i="1" s="1"/>
  <c r="CG102" i="1"/>
  <c r="BO230" i="1"/>
  <c r="BW230" i="1" s="1"/>
  <c r="CG230" i="1"/>
  <c r="BO267" i="1"/>
  <c r="BW267" i="1" s="1"/>
  <c r="CG267" i="1"/>
  <c r="BO219" i="1"/>
  <c r="BW219" i="1" s="1"/>
  <c r="CG219" i="1"/>
  <c r="BO114" i="1"/>
  <c r="BW114" i="1" s="1"/>
  <c r="CG114" i="1"/>
  <c r="BO242" i="1"/>
  <c r="BW242" i="1" s="1"/>
  <c r="CG242" i="1"/>
  <c r="BO130" i="1"/>
  <c r="BW130" i="1" s="1"/>
  <c r="CG130" i="1"/>
  <c r="BO229" i="1"/>
  <c r="BW229" i="1" s="1"/>
  <c r="CG229" i="1"/>
  <c r="BO122" i="1"/>
  <c r="BW122" i="1" s="1"/>
  <c r="CG122" i="1"/>
  <c r="BO249" i="1"/>
  <c r="BW249" i="1" s="1"/>
  <c r="CG249" i="1"/>
  <c r="BO188" i="1"/>
  <c r="BW188" i="1" s="1"/>
  <c r="CG188" i="1"/>
  <c r="BO262" i="1"/>
  <c r="BW262" i="1" s="1"/>
  <c r="CG262" i="1"/>
  <c r="BO258" i="1"/>
  <c r="BW258" i="1" s="1"/>
  <c r="CG258" i="1"/>
  <c r="BO156" i="1"/>
  <c r="BW156" i="1" s="1"/>
  <c r="CG156" i="1"/>
  <c r="BO216" i="1"/>
  <c r="BW216" i="1" s="1"/>
  <c r="CG216" i="1"/>
  <c r="BO101" i="1"/>
  <c r="BW101" i="1" s="1"/>
  <c r="CG101" i="1"/>
  <c r="BO237" i="1"/>
  <c r="BW237" i="1" s="1"/>
  <c r="CG237" i="1"/>
  <c r="BO261" i="1"/>
  <c r="BW261" i="1" s="1"/>
  <c r="CG261" i="1"/>
  <c r="BO238" i="1"/>
  <c r="BW238" i="1" s="1"/>
  <c r="CG238" i="1"/>
  <c r="BO113" i="1"/>
  <c r="BW113" i="1" s="1"/>
  <c r="CG113" i="1"/>
  <c r="BO128" i="1"/>
  <c r="BW128" i="1" s="1"/>
  <c r="CG128" i="1"/>
  <c r="BO208" i="1"/>
  <c r="BW208" i="1" s="1"/>
  <c r="CG208" i="1"/>
  <c r="BO212" i="1"/>
  <c r="BW212" i="1" s="1"/>
  <c r="CG212" i="1"/>
  <c r="BO88" i="1"/>
  <c r="BW88" i="1" s="1"/>
  <c r="CG88" i="1"/>
  <c r="BO138" i="1"/>
  <c r="BW138" i="1" s="1"/>
  <c r="CG138" i="1"/>
  <c r="BO174" i="1"/>
  <c r="BW174" i="1" s="1"/>
  <c r="CG174" i="1"/>
  <c r="BO197" i="1"/>
  <c r="BW197" i="1" s="1"/>
  <c r="CG197" i="1"/>
  <c r="BO183" i="1"/>
  <c r="BW183" i="1" s="1"/>
  <c r="CG183" i="1"/>
  <c r="BO169" i="1"/>
  <c r="BW169" i="1" s="1"/>
  <c r="CG169" i="1"/>
  <c r="BO245" i="1"/>
  <c r="BW245" i="1" s="1"/>
  <c r="CG245" i="1"/>
  <c r="BO196" i="1"/>
  <c r="BW196" i="1" s="1"/>
  <c r="CG196" i="1"/>
  <c r="BO126" i="1"/>
  <c r="BW126" i="1" s="1"/>
  <c r="CG126" i="1"/>
  <c r="BO200" i="1"/>
  <c r="BW200" i="1" s="1"/>
  <c r="CG200" i="1"/>
  <c r="BO163" i="1"/>
  <c r="BW163" i="1" s="1"/>
  <c r="CG163" i="1"/>
  <c r="BO185" i="1"/>
  <c r="BW185" i="1" s="1"/>
  <c r="CG185" i="1"/>
  <c r="BO250" i="1"/>
  <c r="BW250" i="1" s="1"/>
  <c r="CG250" i="1"/>
  <c r="BO182" i="1"/>
  <c r="BW182" i="1" s="1"/>
  <c r="CG182" i="1"/>
  <c r="BO142" i="1"/>
  <c r="BW142" i="1" s="1"/>
  <c r="CG142" i="1"/>
  <c r="BO228" i="1"/>
  <c r="BW228" i="1" s="1"/>
  <c r="CG228" i="1"/>
  <c r="BO204" i="1"/>
  <c r="BW204" i="1" s="1"/>
  <c r="CG204" i="1"/>
  <c r="BO248" i="1"/>
  <c r="BW248" i="1" s="1"/>
  <c r="CG248" i="1"/>
  <c r="BO147" i="1"/>
  <c r="BW147" i="1" s="1"/>
  <c r="CG147" i="1"/>
  <c r="BO161" i="1"/>
  <c r="BW161" i="1" s="1"/>
  <c r="CG161" i="1"/>
  <c r="BO103" i="1"/>
  <c r="BW103" i="1" s="1"/>
  <c r="CG103" i="1"/>
  <c r="BO206" i="1"/>
  <c r="BW206" i="1" s="1"/>
  <c r="CG206" i="1"/>
  <c r="BO176" i="1"/>
  <c r="BW176" i="1" s="1"/>
  <c r="CG176" i="1"/>
  <c r="BO83" i="1"/>
  <c r="BW83" i="1" s="1"/>
  <c r="CG83" i="1"/>
  <c r="BO243" i="1"/>
  <c r="BW243" i="1" s="1"/>
  <c r="CG243" i="1"/>
  <c r="BO253" i="1"/>
  <c r="BW253" i="1" s="1"/>
  <c r="CG253" i="1"/>
  <c r="BO97" i="1"/>
  <c r="BW97" i="1" s="1"/>
  <c r="CG97" i="1"/>
  <c r="BO168" i="1"/>
  <c r="BW168" i="1" s="1"/>
  <c r="CG168" i="1"/>
  <c r="BO226" i="1"/>
  <c r="BW226" i="1" s="1"/>
  <c r="CG226" i="1"/>
  <c r="BO119" i="1"/>
  <c r="BW119" i="1" s="1"/>
  <c r="CG119" i="1"/>
  <c r="BO96" i="1"/>
  <c r="BW96" i="1" s="1"/>
  <c r="CG96" i="1"/>
  <c r="BO167" i="1"/>
  <c r="BW167" i="1" s="1"/>
  <c r="CG167" i="1"/>
  <c r="BO190" i="1"/>
  <c r="BW190" i="1" s="1"/>
  <c r="CG190" i="1"/>
  <c r="BO252" i="1"/>
  <c r="BW252" i="1" s="1"/>
  <c r="CG252" i="1"/>
  <c r="BO231" i="1"/>
  <c r="BW231" i="1" s="1"/>
  <c r="CG231" i="1"/>
  <c r="BO195" i="1"/>
  <c r="BW195" i="1" s="1"/>
  <c r="CG195" i="1"/>
  <c r="BO225" i="1"/>
  <c r="BW225" i="1" s="1"/>
  <c r="CG225" i="1"/>
  <c r="BO256" i="1"/>
  <c r="BW256" i="1" s="1"/>
  <c r="CG256" i="1"/>
  <c r="BO266" i="1"/>
  <c r="BW266" i="1" s="1"/>
  <c r="CG266" i="1"/>
  <c r="BO236" i="1"/>
  <c r="BW236" i="1" s="1"/>
  <c r="CG236" i="1"/>
  <c r="BO111" i="1"/>
  <c r="BW111" i="1" s="1"/>
  <c r="CG111" i="1"/>
  <c r="BO175" i="1"/>
  <c r="BW175" i="1" s="1"/>
  <c r="CG175" i="1"/>
  <c r="BO136" i="1"/>
  <c r="BW136" i="1" s="1"/>
  <c r="CG136" i="1"/>
  <c r="BO131" i="1"/>
  <c r="BW131" i="1" s="1"/>
  <c r="CG131" i="1"/>
  <c r="BO270" i="1"/>
  <c r="BW270" i="1" s="1"/>
  <c r="CG270" i="1"/>
  <c r="BO184" i="1"/>
  <c r="BW184" i="1" s="1"/>
  <c r="CG184" i="1"/>
  <c r="BO205" i="1"/>
  <c r="BW205" i="1" s="1"/>
  <c r="CG205" i="1"/>
  <c r="BO187" i="1"/>
  <c r="BW187" i="1" s="1"/>
  <c r="CG187" i="1"/>
  <c r="BO179" i="1"/>
  <c r="BW179" i="1" s="1"/>
  <c r="CG179" i="1"/>
  <c r="BO235" i="1"/>
  <c r="BW235" i="1" s="1"/>
  <c r="CG235" i="1"/>
  <c r="BO214" i="1"/>
  <c r="BW214" i="1" s="1"/>
  <c r="CG214" i="1"/>
  <c r="AQ80" i="1"/>
  <c r="AQ82" i="1"/>
  <c r="AQ84" i="1"/>
  <c r="AQ87" i="1"/>
  <c r="AQ90" i="1"/>
  <c r="AQ93" i="1"/>
  <c r="AQ95" i="1"/>
  <c r="AQ97" i="1"/>
  <c r="AQ99" i="1"/>
  <c r="AQ100" i="1"/>
  <c r="AQ102" i="1"/>
  <c r="AQ104" i="1"/>
  <c r="AQ107" i="1"/>
  <c r="AQ109" i="1"/>
  <c r="AQ111" i="1"/>
  <c r="AQ113" i="1"/>
  <c r="AQ116" i="1"/>
  <c r="AQ118" i="1"/>
  <c r="AQ120" i="1"/>
  <c r="AQ122" i="1"/>
  <c r="AQ125" i="1"/>
  <c r="AQ126" i="1"/>
  <c r="AQ128" i="1"/>
  <c r="AQ130" i="1"/>
  <c r="AQ132" i="1"/>
  <c r="AQ134" i="1"/>
  <c r="AQ136" i="1"/>
  <c r="AQ138" i="1"/>
  <c r="AQ142" i="1"/>
  <c r="AQ144" i="1"/>
  <c r="AQ147" i="1"/>
  <c r="AQ149" i="1"/>
  <c r="AQ151" i="1"/>
  <c r="AQ152" i="1"/>
  <c r="AQ153" i="1"/>
  <c r="AQ154" i="1"/>
  <c r="AQ156" i="1"/>
  <c r="AQ157" i="1"/>
  <c r="AQ75" i="1"/>
  <c r="AQ77" i="1"/>
  <c r="AQ79" i="1"/>
  <c r="AQ81" i="1"/>
  <c r="AQ83" i="1"/>
  <c r="AQ85" i="1"/>
  <c r="AQ88" i="1"/>
  <c r="AQ89" i="1"/>
  <c r="AQ91" i="1"/>
  <c r="AQ94" i="1"/>
  <c r="AQ96" i="1"/>
  <c r="AQ98" i="1"/>
  <c r="AQ101" i="1"/>
  <c r="AQ103" i="1"/>
  <c r="AQ106" i="1"/>
  <c r="AQ108" i="1"/>
  <c r="AQ110" i="1"/>
  <c r="AQ112" i="1"/>
  <c r="AQ114" i="1"/>
  <c r="AQ115" i="1"/>
  <c r="AQ117" i="1"/>
  <c r="AQ119" i="1"/>
  <c r="AQ121" i="1"/>
  <c r="AQ124" i="1"/>
  <c r="AQ127" i="1"/>
  <c r="AQ129" i="1"/>
  <c r="AQ131" i="1"/>
  <c r="AQ133" i="1"/>
  <c r="AQ135" i="1"/>
  <c r="AQ137" i="1"/>
  <c r="AQ139" i="1"/>
  <c r="AQ140" i="1"/>
  <c r="AQ143" i="1"/>
  <c r="AQ146" i="1"/>
  <c r="AQ148" i="1"/>
  <c r="AQ150" i="1"/>
  <c r="AQ74" i="1"/>
  <c r="AQ76" i="1"/>
  <c r="AQ78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73" i="1"/>
  <c r="AQ266" i="1"/>
  <c r="AQ267" i="1"/>
  <c r="AQ268" i="1"/>
  <c r="AQ269" i="1"/>
  <c r="AQ270" i="1"/>
  <c r="AQ2" i="1"/>
  <c r="AQ3" i="1"/>
  <c r="AQ4" i="1"/>
  <c r="AQ5" i="1"/>
  <c r="AQ6" i="1"/>
  <c r="AQ7" i="1"/>
  <c r="AQ86" i="1"/>
  <c r="AQ8" i="1"/>
  <c r="AQ92" i="1"/>
  <c r="AQ9" i="1"/>
  <c r="AQ10" i="1"/>
  <c r="AQ11" i="1"/>
  <c r="AQ12" i="1"/>
  <c r="AQ13" i="1"/>
  <c r="AQ105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141" i="1"/>
  <c r="AQ30" i="1"/>
  <c r="AQ31" i="1"/>
  <c r="AQ32" i="1"/>
  <c r="AQ33" i="1"/>
  <c r="AQ34" i="1"/>
  <c r="AQ35" i="1"/>
  <c r="AQ15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123" i="1"/>
  <c r="AQ60" i="1"/>
  <c r="AQ61" i="1"/>
  <c r="AQ62" i="1"/>
  <c r="AQ63" i="1"/>
  <c r="AQ64" i="1"/>
  <c r="AQ65" i="1"/>
  <c r="AQ66" i="1"/>
  <c r="AQ67" i="1"/>
  <c r="AQ68" i="1"/>
  <c r="AQ145" i="1"/>
  <c r="AQ69" i="1"/>
  <c r="AQ70" i="1"/>
  <c r="AQ71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5" i="1"/>
  <c r="AQ184" i="1"/>
  <c r="AQ182" i="1"/>
  <c r="AQ188" i="1"/>
  <c r="AQ189" i="1"/>
  <c r="AQ218" i="1"/>
  <c r="AQ180" i="1"/>
  <c r="AQ194" i="1"/>
  <c r="AQ196" i="1"/>
  <c r="AQ190" i="1"/>
  <c r="AQ204" i="1"/>
  <c r="AQ202" i="1"/>
  <c r="AQ183" i="1"/>
  <c r="AQ187" i="1"/>
  <c r="AQ193" i="1"/>
  <c r="AQ197" i="1"/>
  <c r="AQ181" i="1"/>
  <c r="AQ203" i="1"/>
  <c r="AQ186" i="1"/>
  <c r="AQ220" i="1"/>
  <c r="AQ213" i="1"/>
  <c r="AQ72" i="1"/>
  <c r="AQ201" i="1"/>
  <c r="AQ209" i="1"/>
  <c r="AQ211" i="1"/>
  <c r="AQ208" i="1"/>
  <c r="AQ195" i="1"/>
  <c r="AQ219" i="1"/>
  <c r="AQ206" i="1"/>
  <c r="AQ210" i="1"/>
  <c r="AQ200" i="1"/>
  <c r="AQ198" i="1"/>
  <c r="AQ216" i="1"/>
  <c r="AQ214" i="1"/>
  <c r="AQ205" i="1"/>
  <c r="AQ191" i="1"/>
  <c r="AQ192" i="1"/>
  <c r="AQ207" i="1"/>
  <c r="AQ212" i="1"/>
  <c r="AQ217" i="1"/>
  <c r="AQ215" i="1"/>
  <c r="AQ199" i="1"/>
  <c r="AQ2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8" authorId="0" shapeId="0" xr:uid="{0E8D81C4-22E8-45DF-8A4E-98638B8FDFAA}">
      <text>
        <r>
          <rPr>
            <sz val="11"/>
            <color indexed="8"/>
            <rFont val="Calibri"/>
            <family val="2"/>
            <scheme val="minor"/>
          </rPr>
          <t>Limit to 24 characters with numbers, letters, '_' only and start with a letter. Sample name in the Final Report and the fq files will be named according to the sub-library name.</t>
        </r>
      </text>
    </comment>
    <comment ref="K38" authorId="0" shapeId="0" xr:uid="{9804167E-10C8-4F39-9C18-7CDA46BE95EF}">
      <text>
        <r>
          <rPr>
            <sz val="11"/>
            <color indexed="8"/>
            <rFont val="Calibri"/>
            <family val="2"/>
            <scheme val="minor"/>
          </rPr>
          <t>Required when data need Demultiplexing; the direction should be P5-&gt;P7, 5'-&gt;3'.This colunm accepts "A/T/G/C" only.</t>
        </r>
      </text>
    </comment>
    <comment ref="L38" authorId="0" shapeId="0" xr:uid="{F77847D0-5465-4549-AEA7-E09BD186E17C}">
      <text>
        <r>
          <rPr>
            <sz val="11"/>
            <color indexed="8"/>
            <rFont val="Calibri"/>
            <family val="2"/>
            <scheme val="minor"/>
          </rPr>
          <t>This colunm accepts "A/T/G/C" only.</t>
        </r>
      </text>
    </comment>
  </commentList>
</comments>
</file>

<file path=xl/sharedStrings.xml><?xml version="1.0" encoding="utf-8"?>
<sst xmlns="http://schemas.openxmlformats.org/spreadsheetml/2006/main" count="14305" uniqueCount="2109">
  <si>
    <t>Individual_ID</t>
  </si>
  <si>
    <t>Extraction_ID</t>
  </si>
  <si>
    <t>Library_id</t>
  </si>
  <si>
    <t>frag_sample_id</t>
  </si>
  <si>
    <t>Sample Plate</t>
  </si>
  <si>
    <t>Sample Column</t>
  </si>
  <si>
    <t>Sample Row</t>
  </si>
  <si>
    <t>Concentration (ng/ul)</t>
  </si>
  <si>
    <t>Kit</t>
  </si>
  <si>
    <t>Conditioning solution</t>
  </si>
  <si>
    <t>enzymatic_digestion_minutes</t>
  </si>
  <si>
    <t>Kit Conc</t>
  </si>
  <si>
    <t>Adapter Conc uM</t>
  </si>
  <si>
    <t>Primer Conc uM</t>
  </si>
  <si>
    <t>dna_starting_ng</t>
  </si>
  <si>
    <t>dna_starting_ul</t>
  </si>
  <si>
    <t>well</t>
  </si>
  <si>
    <t>Vol to rehydrate in</t>
  </si>
  <si>
    <t>Date of library construction</t>
  </si>
  <si>
    <t>Person who made library</t>
  </si>
  <si>
    <t>Quant file name</t>
  </si>
  <si>
    <t>Quant Col-1</t>
  </si>
  <si>
    <t>Quant Row-1</t>
  </si>
  <si>
    <t>Quant Col-2</t>
  </si>
  <si>
    <t>Quant Row-2</t>
  </si>
  <si>
    <t>Library plate col</t>
  </si>
  <si>
    <t>Library plate row</t>
  </si>
  <si>
    <t>Library Plate</t>
  </si>
  <si>
    <t>Adapter type</t>
  </si>
  <si>
    <t>Index Primer Plate</t>
  </si>
  <si>
    <t>Index Primer Column</t>
  </si>
  <si>
    <t>Index Primer Row</t>
  </si>
  <si>
    <t>i5 Primer</t>
  </si>
  <si>
    <t>i5 Index for Novogene</t>
  </si>
  <si>
    <t>i7 Primer</t>
  </si>
  <si>
    <t>i7 Index</t>
  </si>
  <si>
    <t>Sequence_Name</t>
  </si>
  <si>
    <t>FA Row</t>
  </si>
  <si>
    <t>FA Column</t>
  </si>
  <si>
    <t>FA Date</t>
  </si>
  <si>
    <t>Library Conc</t>
  </si>
  <si>
    <t>Vol left</t>
  </si>
  <si>
    <t>ng left</t>
  </si>
  <si>
    <t>Frag Analyze?</t>
  </si>
  <si>
    <t>200 bp to 650 bp</t>
  </si>
  <si>
    <t>250 bp to 650 bp</t>
  </si>
  <si>
    <t>300 bp to 650 bp</t>
  </si>
  <si>
    <t>350 bp to 650 bp</t>
  </si>
  <si>
    <t>400 bp to 650 bp</t>
  </si>
  <si>
    <t>450 bp to 650 bp</t>
  </si>
  <si>
    <t>ng in 200-650</t>
  </si>
  <si>
    <t>ng in 250-650</t>
  </si>
  <si>
    <t>ng in 300-650</t>
  </si>
  <si>
    <t>ng in 350-650</t>
  </si>
  <si>
    <t>ng in 400-650</t>
  </si>
  <si>
    <t>ng in 450-650</t>
  </si>
  <si>
    <t>Pool for lcwgs test?</t>
  </si>
  <si>
    <t>TestLanePool</t>
  </si>
  <si>
    <t>Transfer</t>
  </si>
  <si>
    <t>Rack</t>
  </si>
  <si>
    <t>Source</t>
  </si>
  <si>
    <t>Destination</t>
  </si>
  <si>
    <t>Volume</t>
  </si>
  <si>
    <t>Dilution plate conc</t>
  </si>
  <si>
    <t>Total dilution plate vol</t>
  </si>
  <si>
    <t>Water to add</t>
  </si>
  <si>
    <t>Dilution Plate</t>
  </si>
  <si>
    <t>Dilution Plate Col</t>
  </si>
  <si>
    <t>Dilution Plate Row</t>
  </si>
  <si>
    <t>Pool Round</t>
  </si>
  <si>
    <t>Och-CTum_001</t>
  </si>
  <si>
    <t>Och-CTum_001-Ex1</t>
  </si>
  <si>
    <t>Mix-C_008_E1</t>
  </si>
  <si>
    <t>A</t>
  </si>
  <si>
    <t>KAPAHyperPlus</t>
  </si>
  <si>
    <t>PIRE-C_LibrariesForCapture-Jan2023-2_AccuClear_2023-01-23</t>
  </si>
  <si>
    <t>B</t>
  </si>
  <si>
    <t>PIRE-C_LibrariesforCapture_Jan2023-2</t>
  </si>
  <si>
    <t>iTru</t>
  </si>
  <si>
    <t>Yes</t>
  </si>
  <si>
    <t>Och-C</t>
  </si>
  <si>
    <t>Och-CTum_002</t>
  </si>
  <si>
    <t>Och-CTum_002-Ex1</t>
  </si>
  <si>
    <t>C</t>
  </si>
  <si>
    <t>D</t>
  </si>
  <si>
    <t>Och-CTum_003</t>
  </si>
  <si>
    <t>Och-CTum_003-Ex1</t>
  </si>
  <si>
    <t>E</t>
  </si>
  <si>
    <t>F</t>
  </si>
  <si>
    <t>Och-CTum_004</t>
  </si>
  <si>
    <t>Och-CTum_004-Ex1</t>
  </si>
  <si>
    <t>G</t>
  </si>
  <si>
    <t>H</t>
  </si>
  <si>
    <t>Och-CTum_005</t>
  </si>
  <si>
    <t>Och-CTum_005-Ex1</t>
  </si>
  <si>
    <t>I</t>
  </si>
  <si>
    <t>J</t>
  </si>
  <si>
    <t>Och-CTum_006</t>
  </si>
  <si>
    <t>Och-CTum_006-Ex1</t>
  </si>
  <si>
    <t>K</t>
  </si>
  <si>
    <t>L</t>
  </si>
  <si>
    <t>Och-CTum_007</t>
  </si>
  <si>
    <t>Och-CTum_007-Ex1</t>
  </si>
  <si>
    <t>M</t>
  </si>
  <si>
    <t>N</t>
  </si>
  <si>
    <t>Och-CTum_008</t>
  </si>
  <si>
    <t>Och-CTum_008-Ex1</t>
  </si>
  <si>
    <t>O</t>
  </si>
  <si>
    <t>P</t>
  </si>
  <si>
    <t>Och-CTum_009</t>
  </si>
  <si>
    <t>Och-CTum_009-Ex1</t>
  </si>
  <si>
    <t>Och-CTum_010</t>
  </si>
  <si>
    <t>Och-CTum_010-Ex1</t>
  </si>
  <si>
    <t>Och-CTum_011</t>
  </si>
  <si>
    <t>Och-CTum_011-Ex1</t>
  </si>
  <si>
    <t>Och-CTum_012</t>
  </si>
  <si>
    <t>Och-CTum_012-Ex1</t>
  </si>
  <si>
    <t>Och-CTum_013</t>
  </si>
  <si>
    <t>Och-CTum_013-Ex1</t>
  </si>
  <si>
    <t>Och-CTum_014</t>
  </si>
  <si>
    <t>Och-CTum_014-Ex1</t>
  </si>
  <si>
    <t>Och-CTum_015</t>
  </si>
  <si>
    <t>Och-CTum_015-Ex1</t>
  </si>
  <si>
    <t>Och-CTum_016</t>
  </si>
  <si>
    <t>Och-CTum_016-Ex1</t>
  </si>
  <si>
    <t>Och-CTum_017</t>
  </si>
  <si>
    <t>Och-CTum_017-Ex1</t>
  </si>
  <si>
    <t>Och-CTum_018</t>
  </si>
  <si>
    <t>Och-CTum_018-Ex1</t>
  </si>
  <si>
    <t>Och-CTum_019</t>
  </si>
  <si>
    <t>Och-CTum_019-Ex1</t>
  </si>
  <si>
    <t>Och-CTum_020</t>
  </si>
  <si>
    <t>Och-CTum_020-Ex1</t>
  </si>
  <si>
    <t>Och-CTum_021</t>
  </si>
  <si>
    <t>Och-CTum_021-Ex1</t>
  </si>
  <si>
    <t>Och-CTum_022</t>
  </si>
  <si>
    <t>Och-CTum_022-Ex1</t>
  </si>
  <si>
    <t>Och-CTum_023</t>
  </si>
  <si>
    <t>Och-CTum_023-Ex1</t>
  </si>
  <si>
    <t>Och-CTum_024</t>
  </si>
  <si>
    <t>Och-CTum_024-Ex1</t>
  </si>
  <si>
    <t>Och-CTum_025</t>
  </si>
  <si>
    <t>Och-CTum_025-Ex1</t>
  </si>
  <si>
    <t>Och-CTum_026</t>
  </si>
  <si>
    <t>Och-CTum_026-Ex1</t>
  </si>
  <si>
    <t>Och-CTum_027</t>
  </si>
  <si>
    <t>Och-CTum_027-Ex1</t>
  </si>
  <si>
    <t>Och-CTum_028</t>
  </si>
  <si>
    <t>Och-CTum_028-Ex1</t>
  </si>
  <si>
    <t>Och-CTum_029</t>
  </si>
  <si>
    <t>Och-CTum_029-Ex1</t>
  </si>
  <si>
    <t>Och-CTum_030</t>
  </si>
  <si>
    <t>Och-CTum_030-Ex1</t>
  </si>
  <si>
    <t>Och-CTum_031</t>
  </si>
  <si>
    <t>Och-CTum_031-Ex1</t>
  </si>
  <si>
    <t>Och-CTum_032</t>
  </si>
  <si>
    <t>Och-CTum_032-Ex1</t>
  </si>
  <si>
    <t>Och-CTum_033</t>
  </si>
  <si>
    <t>Och-CTum_033-Ex1</t>
  </si>
  <si>
    <t>Och-CTum_034</t>
  </si>
  <si>
    <t>Och-CTum_034-Ex1</t>
  </si>
  <si>
    <t>Och-CTum_035</t>
  </si>
  <si>
    <t>Och-CTum_035-Ex1</t>
  </si>
  <si>
    <t>Och-CTum_036</t>
  </si>
  <si>
    <t>Och-CTum_036-Ex1</t>
  </si>
  <si>
    <t>Och-CTum_037</t>
  </si>
  <si>
    <t>Och-CTum_037-Ex1</t>
  </si>
  <si>
    <t>Och-CTum_038</t>
  </si>
  <si>
    <t>Och-CTum_038-Ex1</t>
  </si>
  <si>
    <t>Och-CTum_039</t>
  </si>
  <si>
    <t>Och-CTum_039-Ex1</t>
  </si>
  <si>
    <t>Och-CTum_040</t>
  </si>
  <si>
    <t>Och-CTum_040-Ex1</t>
  </si>
  <si>
    <t>Och-CTum_041</t>
  </si>
  <si>
    <t>Och-CTum_041-Ex1</t>
  </si>
  <si>
    <t>Och-CTum_042</t>
  </si>
  <si>
    <t>Och-CTum_042-Ex1</t>
  </si>
  <si>
    <t>Och-CTum_043</t>
  </si>
  <si>
    <t>Och-CTum_043-Ex1</t>
  </si>
  <si>
    <t>Och-CTum_044</t>
  </si>
  <si>
    <t>Och-CTum_044-Ex1</t>
  </si>
  <si>
    <t>Och-CTum_045</t>
  </si>
  <si>
    <t>Och-CTum_045-Ex1</t>
  </si>
  <si>
    <t>Och-CTum_046</t>
  </si>
  <si>
    <t>Och-CTum_046-Ex1</t>
  </si>
  <si>
    <t>No</t>
  </si>
  <si>
    <t>N/A</t>
  </si>
  <si>
    <t>Och-CTum_047</t>
  </si>
  <si>
    <t>Och-CTum_047-Ex1</t>
  </si>
  <si>
    <t>Och-CTum_048</t>
  </si>
  <si>
    <t>Och-CTum_048-Ex1</t>
  </si>
  <si>
    <t>Och-CTum_049</t>
  </si>
  <si>
    <t>Och-CTum_049-Ex1</t>
  </si>
  <si>
    <t>Och-CTum_050</t>
  </si>
  <si>
    <t>Och-CTum_050-Ex1</t>
  </si>
  <si>
    <t>Och-CTum_051</t>
  </si>
  <si>
    <t>Och-CTum_051-Ex1</t>
  </si>
  <si>
    <t>Och-ACat_001</t>
  </si>
  <si>
    <t>Och-A_001_E1</t>
  </si>
  <si>
    <t>Roy Roberts</t>
  </si>
  <si>
    <t>PIRE-A_LibrariesForCapture-Jan2023-2_AccuClear_2023-01-23.xlsx</t>
  </si>
  <si>
    <t>PIRE-A_LibrariesforCapture_Jan2023-2</t>
  </si>
  <si>
    <t>Och-ACat_002</t>
  </si>
  <si>
    <t>Och-ACat_003</t>
  </si>
  <si>
    <t>Och-ACat_004</t>
  </si>
  <si>
    <t>Och-ACat_005</t>
  </si>
  <si>
    <t>Och-ACat_006</t>
  </si>
  <si>
    <t>Och-ACat_007</t>
  </si>
  <si>
    <t>Och-ACat_008</t>
  </si>
  <si>
    <t>Och-ACat_009</t>
  </si>
  <si>
    <t>Och-ACat_010</t>
  </si>
  <si>
    <t>Och-ACat_011</t>
  </si>
  <si>
    <t>Och-ACat_012</t>
  </si>
  <si>
    <t>Och-ACat_013</t>
  </si>
  <si>
    <t>Och-ACat_014</t>
  </si>
  <si>
    <t>Och-ACat_015</t>
  </si>
  <si>
    <t>Och-ACat_016</t>
  </si>
  <si>
    <t>Och-ACat_017</t>
  </si>
  <si>
    <t>Och-ACat_018</t>
  </si>
  <si>
    <t>Och-ACat_019</t>
  </si>
  <si>
    <t>Och-ACat_020</t>
  </si>
  <si>
    <t>Och-ACat_021</t>
  </si>
  <si>
    <t>Och-ACat_022</t>
  </si>
  <si>
    <t>Och-ACat_023</t>
  </si>
  <si>
    <t>Och-ACat_024</t>
  </si>
  <si>
    <t>Och-ACat_025</t>
  </si>
  <si>
    <t>Och-ACat_026</t>
  </si>
  <si>
    <t>Och-ACat_027</t>
  </si>
  <si>
    <t>Och-ACat_028</t>
  </si>
  <si>
    <t>Och-ACat_029</t>
  </si>
  <si>
    <t>Och-ACat_030</t>
  </si>
  <si>
    <t>Och-ACat_031</t>
  </si>
  <si>
    <t>Och-ACat_032</t>
  </si>
  <si>
    <t>Och-ACat_033</t>
  </si>
  <si>
    <t>Och-ACat_034</t>
  </si>
  <si>
    <t>Och-ACat_035</t>
  </si>
  <si>
    <t>Och-ACat_036</t>
  </si>
  <si>
    <t>Och-ACat_037</t>
  </si>
  <si>
    <t>Och-ACat_038</t>
  </si>
  <si>
    <t>Och-ACat_039</t>
  </si>
  <si>
    <t>Och-ACat_040</t>
  </si>
  <si>
    <t>Och-ACat_041</t>
  </si>
  <si>
    <t>Och-ATum_001</t>
  </si>
  <si>
    <t>Och-ATum_002</t>
  </si>
  <si>
    <t>Och-ATum_003</t>
  </si>
  <si>
    <t>Och-ATum_004</t>
  </si>
  <si>
    <t>Och-ATum_005</t>
  </si>
  <si>
    <t>Och-ATum_006</t>
  </si>
  <si>
    <t>Och-ATum_007</t>
  </si>
  <si>
    <t>Och-ATum_008</t>
  </si>
  <si>
    <t xml:space="preserve">E </t>
  </si>
  <si>
    <t>Och-ATum_009</t>
  </si>
  <si>
    <t>Och-ATum_010</t>
  </si>
  <si>
    <t>Och-ATum_011</t>
  </si>
  <si>
    <t>Och-ATum_012</t>
  </si>
  <si>
    <t>Och-ATum_013</t>
  </si>
  <si>
    <t>Och-ATum_014</t>
  </si>
  <si>
    <t>Och-ATum_015</t>
  </si>
  <si>
    <t>Och-ATum_016</t>
  </si>
  <si>
    <t>Och-ATum_017</t>
  </si>
  <si>
    <t>Och-ATum_018</t>
  </si>
  <si>
    <t>Och-ATum_019</t>
  </si>
  <si>
    <t>Och-ATum_020</t>
  </si>
  <si>
    <t>Och-ATum_021</t>
  </si>
  <si>
    <t>Och-ATum_022</t>
  </si>
  <si>
    <t>Och-ATum_023</t>
  </si>
  <si>
    <t>Och-ATum_024</t>
  </si>
  <si>
    <t>Och-ATum_025</t>
  </si>
  <si>
    <t>Och-ATum_026</t>
  </si>
  <si>
    <t>Och-ATum_027</t>
  </si>
  <si>
    <t>Och-ATum_028</t>
  </si>
  <si>
    <t>Och-ATum_029</t>
  </si>
  <si>
    <t>Och-ATum_030</t>
  </si>
  <si>
    <t>Och-ATum_031</t>
  </si>
  <si>
    <t>Och-ATum_032</t>
  </si>
  <si>
    <t>Och-ATum_033</t>
  </si>
  <si>
    <t>Och-ATum_034</t>
  </si>
  <si>
    <t>Och-ATum_035</t>
  </si>
  <si>
    <t>Och-ATum_036</t>
  </si>
  <si>
    <t>Och-CCat_001</t>
  </si>
  <si>
    <t>Och-CCat_001-Ex1</t>
  </si>
  <si>
    <t>Mix-C_010_E1</t>
  </si>
  <si>
    <t>Pedro Gonzalez</t>
  </si>
  <si>
    <t>PIRE-C_Libraries-Apr-2023-1_AccuClear_2023-05-17</t>
  </si>
  <si>
    <t>PIRE-C_Libraries-Apr2023-1</t>
  </si>
  <si>
    <t>Och-CCat_002</t>
  </si>
  <si>
    <t>Och-CCat_002-Ex1</t>
  </si>
  <si>
    <t>Och-CCat_003</t>
  </si>
  <si>
    <t>Och-CCat_003-Ex1</t>
  </si>
  <si>
    <t>Och-CCat_004</t>
  </si>
  <si>
    <t>Och-CCat_004-Ex1</t>
  </si>
  <si>
    <t>Och-CCat_005</t>
  </si>
  <si>
    <t>Och-CCat_005-Ex1</t>
  </si>
  <si>
    <t>Och-CCat_006</t>
  </si>
  <si>
    <t>Och-CCat_006-Ex1</t>
  </si>
  <si>
    <t>Och-CCat_007</t>
  </si>
  <si>
    <t>Och-CCat_007-Ex1</t>
  </si>
  <si>
    <t>Och-CCat_008</t>
  </si>
  <si>
    <t>Och-CCat_008-Ex1</t>
  </si>
  <si>
    <t>Och-CCat_009</t>
  </si>
  <si>
    <t>Och-CCat_009-Ex1</t>
  </si>
  <si>
    <t>Och-CCat_010</t>
  </si>
  <si>
    <t>Och-CCat_010-Ex1</t>
  </si>
  <si>
    <t>Och-CCat_011</t>
  </si>
  <si>
    <t>Och-CCat_011-Ex1</t>
  </si>
  <si>
    <t>Och-CCat_012</t>
  </si>
  <si>
    <t>Och-CCat_012-Ex1</t>
  </si>
  <si>
    <t>Och-CCat_013</t>
  </si>
  <si>
    <t>Och-CCat_013-Ex1</t>
  </si>
  <si>
    <t>Och-CCat_014</t>
  </si>
  <si>
    <t>Och-CCat_014-Ex1</t>
  </si>
  <si>
    <t>Och-CCat_015</t>
  </si>
  <si>
    <t>Och-CCat_015-Ex1</t>
  </si>
  <si>
    <t>Och-CCat_016</t>
  </si>
  <si>
    <t>Och-CCat_016-Ex1</t>
  </si>
  <si>
    <t>Och-CCat_017</t>
  </si>
  <si>
    <t>Och-CCat_017-Ex1</t>
  </si>
  <si>
    <t>Och-CCat_018</t>
  </si>
  <si>
    <t>Och-CCat_018-Ex1</t>
  </si>
  <si>
    <t>Och-CCat_019</t>
  </si>
  <si>
    <t>Och-CCat_019-Ex1</t>
  </si>
  <si>
    <t>Och-CCat_020</t>
  </si>
  <si>
    <t>Och-CCat_020-Ex1</t>
  </si>
  <si>
    <t>Och-CCat_021</t>
  </si>
  <si>
    <t>Och-CCat_021-Ex1</t>
  </si>
  <si>
    <t>Och-CCat_022</t>
  </si>
  <si>
    <t>Och-CCat_022-Ex1</t>
  </si>
  <si>
    <t>Och-CCat_031</t>
  </si>
  <si>
    <t>Och-CCat_031-Ex1</t>
  </si>
  <si>
    <t>Och-C_002_E1</t>
  </si>
  <si>
    <t>Och-CCat_029</t>
  </si>
  <si>
    <t>Och-CCat_029-Ex1</t>
  </si>
  <si>
    <t>Och-CCat_025</t>
  </si>
  <si>
    <t>Och-CCat_025-Ex1</t>
  </si>
  <si>
    <t>Och-CCat_037</t>
  </si>
  <si>
    <t>Och-CCat_037-Ex1</t>
  </si>
  <si>
    <t>Och-CCat_038</t>
  </si>
  <si>
    <t>Och-CCat_038-Ex1</t>
  </si>
  <si>
    <t>Och-CCat_094</t>
  </si>
  <si>
    <t>Och-CCat_094-Ex1</t>
  </si>
  <si>
    <t>Och-CCat_023</t>
  </si>
  <si>
    <t>Och-CCat_023-Ex1</t>
  </si>
  <si>
    <t>Och-CCat_065</t>
  </si>
  <si>
    <t>Och-CCat_065-Ex1</t>
  </si>
  <si>
    <t>Och-CCat_068</t>
  </si>
  <si>
    <t>Och-CCat_068-Ex1</t>
  </si>
  <si>
    <t>Och-CCat_047</t>
  </si>
  <si>
    <t>Och-CCat_047-Ex1</t>
  </si>
  <si>
    <t>Och-CCat_077</t>
  </si>
  <si>
    <t>Och-CCat_077-Ex1</t>
  </si>
  <si>
    <t>Och-CCat_075</t>
  </si>
  <si>
    <t>Och-CCat_075-Ex1</t>
  </si>
  <si>
    <t>Och-CCat_028</t>
  </si>
  <si>
    <t>Och-CCat_028-Ex1</t>
  </si>
  <si>
    <t>Och-CCat_036</t>
  </si>
  <si>
    <t>Och-CCat_036-Ex1</t>
  </si>
  <si>
    <t>Och-CCat_063</t>
  </si>
  <si>
    <t>Och-CCat_063-Ex1</t>
  </si>
  <si>
    <t>Och-CCat_069</t>
  </si>
  <si>
    <t>Och-CCat_069-Ex1</t>
  </si>
  <si>
    <t>Och-CCat_024</t>
  </si>
  <si>
    <t>Och-CCat_024-Ex1</t>
  </si>
  <si>
    <t>Och-CCat_076</t>
  </si>
  <si>
    <t>Och-CCat_076-Ex1</t>
  </si>
  <si>
    <t>Och-CCat_035</t>
  </si>
  <si>
    <t>Och-CCat_035-Ex1</t>
  </si>
  <si>
    <t>Och-CCat_096</t>
  </si>
  <si>
    <t>Och-CCat_096-Ex1</t>
  </si>
  <si>
    <t>Och-CCat_087</t>
  </si>
  <si>
    <t>Och-CCat_087-Ex1</t>
  </si>
  <si>
    <t>Och-CCat_067</t>
  </si>
  <si>
    <t>Och-CCat_067-Ex1</t>
  </si>
  <si>
    <t>Och-CCat_074</t>
  </si>
  <si>
    <t>Och-CCat_074-Ex1</t>
  </si>
  <si>
    <t>Och-CCat_083</t>
  </si>
  <si>
    <t>Och-CCat_083-Ex1</t>
  </si>
  <si>
    <t>Och-CCat_085</t>
  </si>
  <si>
    <t>Och-CCat_085-Ex1</t>
  </si>
  <si>
    <t>Och-CCat_082</t>
  </si>
  <si>
    <t>Och-CCat_082-Ex1</t>
  </si>
  <si>
    <t>Och-CCat_066</t>
  </si>
  <si>
    <t>Och-CCat_066-Ex1</t>
  </si>
  <si>
    <t>Och-CCat_095</t>
  </si>
  <si>
    <t>Och-CCat_095-Ex1</t>
  </si>
  <si>
    <t>Och-CCat_080</t>
  </si>
  <si>
    <t>Och-CCat_080-Ex1</t>
  </si>
  <si>
    <t>Och-CCat_084</t>
  </si>
  <si>
    <t>Och-CCat_084-Ex1</t>
  </si>
  <si>
    <t>Och-CCat_072</t>
  </si>
  <si>
    <t>Och-CCat_072-Ex1</t>
  </si>
  <si>
    <t>Och-CCat_070</t>
  </si>
  <si>
    <t>Och-CCat_070-Ex1</t>
  </si>
  <si>
    <t>Och-CCat_091</t>
  </si>
  <si>
    <t>Och-CCat_091-Ex1</t>
  </si>
  <si>
    <t>Och-CCat_088</t>
  </si>
  <si>
    <t>Och-CCat_088-Ex1</t>
  </si>
  <si>
    <t>Och-CCat_079</t>
  </si>
  <si>
    <t>Och-CCat_079-Ex1</t>
  </si>
  <si>
    <t>Och-CCat_051</t>
  </si>
  <si>
    <t>Och-CCat_051-Ex1</t>
  </si>
  <si>
    <t>Och-CCat_059</t>
  </si>
  <si>
    <t>Och-CCat_059-Ex1</t>
  </si>
  <si>
    <t>Och-CCat_081</t>
  </si>
  <si>
    <t>Och-CCat_081-Ex1</t>
  </si>
  <si>
    <t>Och-CCat_086</t>
  </si>
  <si>
    <t>Och-CCat_086-Ex1</t>
  </si>
  <si>
    <t>Och-CCat_092</t>
  </si>
  <si>
    <t>Och-CCat_092-Ex1</t>
  </si>
  <si>
    <t>Och-CCat_090</t>
  </si>
  <si>
    <t>Och-CCat_090-Ex1</t>
  </si>
  <si>
    <t>Och-CCat_071</t>
  </si>
  <si>
    <t>Och-CCat_071-Ex1</t>
  </si>
  <si>
    <t>PIRE-Och-A_RedoLibraries_2023-08-04</t>
  </si>
  <si>
    <t>Och-A_RedoLibraries</t>
  </si>
  <si>
    <t>yes</t>
  </si>
  <si>
    <t>Och-A</t>
  </si>
  <si>
    <t>Dilution</t>
  </si>
  <si>
    <t>Test Lane</t>
  </si>
  <si>
    <t>A1</t>
  </si>
  <si>
    <t>Och-C_DilutionPlate</t>
  </si>
  <si>
    <t>Och-Mixed_Dilution Plate</t>
  </si>
  <si>
    <t>DNA Rack</t>
  </si>
  <si>
    <t>Dilution Rack</t>
  </si>
  <si>
    <t>Water Rack</t>
  </si>
  <si>
    <t>C1</t>
  </si>
  <si>
    <t>G1</t>
  </si>
  <si>
    <t>D1</t>
  </si>
  <si>
    <t>F1</t>
  </si>
  <si>
    <t>B1</t>
  </si>
  <si>
    <t>E1</t>
  </si>
  <si>
    <t>A2</t>
  </si>
  <si>
    <t>A3</t>
  </si>
  <si>
    <t>A7</t>
  </si>
  <si>
    <t>B3</t>
  </si>
  <si>
    <t>G7</t>
  </si>
  <si>
    <t>H2</t>
  </si>
  <si>
    <t>F7</t>
  </si>
  <si>
    <t>G2</t>
  </si>
  <si>
    <t>E7</t>
  </si>
  <si>
    <t>D7</t>
  </si>
  <si>
    <t>F2</t>
  </si>
  <si>
    <t>E2</t>
  </si>
  <si>
    <t>D2</t>
  </si>
  <si>
    <t>C7</t>
  </si>
  <si>
    <t>C2</t>
  </si>
  <si>
    <t>B2</t>
  </si>
  <si>
    <t>H1</t>
  </si>
  <si>
    <t>B7</t>
  </si>
  <si>
    <t>H6</t>
  </si>
  <si>
    <t>G6</t>
  </si>
  <si>
    <t>F6</t>
  </si>
  <si>
    <t>E6</t>
  </si>
  <si>
    <t>Water Volume</t>
  </si>
  <si>
    <t>Och-Mixed well</t>
  </si>
  <si>
    <t>Pool</t>
  </si>
  <si>
    <t>Plate</t>
  </si>
  <si>
    <t>Row</t>
  </si>
  <si>
    <t>Col</t>
  </si>
  <si>
    <t>Vol</t>
  </si>
  <si>
    <t>Test Lane Seq Name</t>
  </si>
  <si>
    <t>OcA01001</t>
  </si>
  <si>
    <t>OcA01013</t>
  </si>
  <si>
    <t>OcA01025</t>
  </si>
  <si>
    <t>OcA01037</t>
  </si>
  <si>
    <t>OcA01008</t>
  </si>
  <si>
    <t>OcA01020</t>
  </si>
  <si>
    <t>OcA01032</t>
  </si>
  <si>
    <t>OcA01002</t>
  </si>
  <si>
    <t>OcA01014</t>
  </si>
  <si>
    <t>OcA01026</t>
  </si>
  <si>
    <t>OcA01038</t>
  </si>
  <si>
    <t>OcA01009</t>
  </si>
  <si>
    <t>OcA01021</t>
  </si>
  <si>
    <t>OcA01033</t>
  </si>
  <si>
    <t>OcA01003</t>
  </si>
  <si>
    <t>OcA01015</t>
  </si>
  <si>
    <t>OcA01027</t>
  </si>
  <si>
    <t>OcA01039</t>
  </si>
  <si>
    <t>OcA01010</t>
  </si>
  <si>
    <t>OcA01022</t>
  </si>
  <si>
    <t>OcA01034</t>
  </si>
  <si>
    <t>OcA01004</t>
  </si>
  <si>
    <t>OcA01016</t>
  </si>
  <si>
    <t>OcA01028</t>
  </si>
  <si>
    <t>OcA01040</t>
  </si>
  <si>
    <t>OcA01011</t>
  </si>
  <si>
    <t>OcA01023</t>
  </si>
  <si>
    <t>OcA01035</t>
  </si>
  <si>
    <t>OcA01005</t>
  </si>
  <si>
    <t>OcA01017</t>
  </si>
  <si>
    <t>OcA01029</t>
  </si>
  <si>
    <t>OcA01041</t>
  </si>
  <si>
    <t>OcA01012</t>
  </si>
  <si>
    <t>OcA01024</t>
  </si>
  <si>
    <t>OcA01036</t>
  </si>
  <si>
    <t>OcA01006</t>
  </si>
  <si>
    <t>OcA01018</t>
  </si>
  <si>
    <t>OcA01030</t>
  </si>
  <si>
    <t>OcA01007</t>
  </si>
  <si>
    <t>OcA01019</t>
  </si>
  <si>
    <t>OcA01031</t>
  </si>
  <si>
    <t>OcC08001</t>
  </si>
  <si>
    <t>OcC08002</t>
  </si>
  <si>
    <t>OcC08003</t>
  </si>
  <si>
    <t>OcC08004</t>
  </si>
  <si>
    <t>OcC08005</t>
  </si>
  <si>
    <t>OcC08006</t>
  </si>
  <si>
    <t>OcC08007</t>
  </si>
  <si>
    <t>OcC08008</t>
  </si>
  <si>
    <t>OcC08009</t>
  </si>
  <si>
    <t>OcC08010</t>
  </si>
  <si>
    <t>OcC08011</t>
  </si>
  <si>
    <t>OcC08012</t>
  </si>
  <si>
    <t>OcC08013</t>
  </si>
  <si>
    <t>OcC08014</t>
  </si>
  <si>
    <t>OcC08015</t>
  </si>
  <si>
    <t>OcC08016</t>
  </si>
  <si>
    <t>OcC08017</t>
  </si>
  <si>
    <t>OcC08018</t>
  </si>
  <si>
    <t>OcC08019</t>
  </si>
  <si>
    <t>OcC08020</t>
  </si>
  <si>
    <t>OcC08021</t>
  </si>
  <si>
    <t>OcC08022</t>
  </si>
  <si>
    <t>OcC08023</t>
  </si>
  <si>
    <t>OcC08024</t>
  </si>
  <si>
    <t>OcC08025</t>
  </si>
  <si>
    <t>OcC08026</t>
  </si>
  <si>
    <t>OcC08027</t>
  </si>
  <si>
    <t>OcC08028</t>
  </si>
  <si>
    <t>OcC08029</t>
  </si>
  <si>
    <t>OcC08030</t>
  </si>
  <si>
    <t>OcC08031</t>
  </si>
  <si>
    <t>OcC08032</t>
  </si>
  <si>
    <t>OcC08033</t>
  </si>
  <si>
    <t>OcC08034</t>
  </si>
  <si>
    <t>OcC08035</t>
  </si>
  <si>
    <t>OcC08036</t>
  </si>
  <si>
    <t>OcC08037</t>
  </si>
  <si>
    <t>OcC08038</t>
  </si>
  <si>
    <t>OcC08039</t>
  </si>
  <si>
    <t>OcC08040</t>
  </si>
  <si>
    <t>OcC08041</t>
  </si>
  <si>
    <t>OcC08042</t>
  </si>
  <si>
    <t>OcC08043</t>
  </si>
  <si>
    <t>OcC08044</t>
  </si>
  <si>
    <t>OcC08045</t>
  </si>
  <si>
    <t>OcC08047</t>
  </si>
  <si>
    <t>OcC08048</t>
  </si>
  <si>
    <t>OcC08049</t>
  </si>
  <si>
    <t>OcC08050</t>
  </si>
  <si>
    <t>OcC08051</t>
  </si>
  <si>
    <t>OcC02001</t>
  </si>
  <si>
    <t>OcC02002</t>
  </si>
  <si>
    <t>OcC02003</t>
  </si>
  <si>
    <t>OcC02004</t>
  </si>
  <si>
    <t>OcC02005</t>
  </si>
  <si>
    <t>OcC02006</t>
  </si>
  <si>
    <t>OcC02007</t>
  </si>
  <si>
    <t>OcC02008</t>
  </si>
  <si>
    <t>OcC02009</t>
  </si>
  <si>
    <t>OcC02010</t>
  </si>
  <si>
    <t>OcC02011</t>
  </si>
  <si>
    <t>OcC02012</t>
  </si>
  <si>
    <t>OcC02013</t>
  </si>
  <si>
    <t>OcC02014</t>
  </si>
  <si>
    <t>OcC02015</t>
  </si>
  <si>
    <t>OcC02016</t>
  </si>
  <si>
    <t>OcC02017</t>
  </si>
  <si>
    <t>OcC02018</t>
  </si>
  <si>
    <t>OcC02019</t>
  </si>
  <si>
    <t>OcC02020</t>
  </si>
  <si>
    <t>OcC02021</t>
  </si>
  <si>
    <t>OcC02022</t>
  </si>
  <si>
    <t>OcC02031</t>
  </si>
  <si>
    <t>OcC02029</t>
  </si>
  <si>
    <t>OcC02025</t>
  </si>
  <si>
    <t>OcC02037</t>
  </si>
  <si>
    <t>OcC02038</t>
  </si>
  <si>
    <t>OcC02094</t>
  </si>
  <si>
    <t>OcC02023</t>
  </si>
  <si>
    <t>OcC02065</t>
  </si>
  <si>
    <t>OcC02068</t>
  </si>
  <si>
    <t>OcC02047</t>
  </si>
  <si>
    <t>OcC02077</t>
  </si>
  <si>
    <t>OcC02075</t>
  </si>
  <si>
    <t>OcC02028</t>
  </si>
  <si>
    <t>OcC02036</t>
  </si>
  <si>
    <t>OcC02063</t>
  </si>
  <si>
    <t>OcC02069</t>
  </si>
  <si>
    <t>OcC02024</t>
  </si>
  <si>
    <t>OcC02076</t>
  </si>
  <si>
    <t>OcC02035</t>
  </si>
  <si>
    <t>OcC02096</t>
  </si>
  <si>
    <t>OcC02087</t>
  </si>
  <si>
    <t>OcC02074</t>
  </si>
  <si>
    <t>OcC02083</t>
  </si>
  <si>
    <t>OcC02085</t>
  </si>
  <si>
    <t>OcC02082</t>
  </si>
  <si>
    <t>OcC02066</t>
  </si>
  <si>
    <t>OcC02095</t>
  </si>
  <si>
    <t>OcC02080</t>
  </si>
  <si>
    <t>OcC02084</t>
  </si>
  <si>
    <t>OcC02072</t>
  </si>
  <si>
    <t>OcC02070</t>
  </si>
  <si>
    <t>OcC02091</t>
  </si>
  <si>
    <t>OcC02088</t>
  </si>
  <si>
    <t>OcC02079</t>
  </si>
  <si>
    <t>OcC02051</t>
  </si>
  <si>
    <t>OcC02059</t>
  </si>
  <si>
    <t>OcC02081</t>
  </si>
  <si>
    <t>OcC02086</t>
  </si>
  <si>
    <t>OcC02092</t>
  </si>
  <si>
    <t>OcC02090</t>
  </si>
  <si>
    <t>OcC02071</t>
  </si>
  <si>
    <t>iTru5_02_A</t>
  </si>
  <si>
    <t>CTTCGCAA</t>
  </si>
  <si>
    <t>iTru7_101_01</t>
  </si>
  <si>
    <t>ACGTTACC</t>
  </si>
  <si>
    <t>iTru7_101_02</t>
  </si>
  <si>
    <t>CTGTGTTG</t>
  </si>
  <si>
    <t>iTru7_101_03</t>
  </si>
  <si>
    <t>TGAGGTGT</t>
  </si>
  <si>
    <t>iTru7_101_04</t>
  </si>
  <si>
    <t>GATCCATG</t>
  </si>
  <si>
    <t>iTru7_101_05</t>
  </si>
  <si>
    <t>GCCTATCA</t>
  </si>
  <si>
    <t>iTru7_101_06</t>
  </si>
  <si>
    <t>AACAACCG</t>
  </si>
  <si>
    <t>iTru7_101_07</t>
  </si>
  <si>
    <t>ACTCGTTG</t>
  </si>
  <si>
    <t>iTru7_101_08</t>
  </si>
  <si>
    <t>CCTATGGT</t>
  </si>
  <si>
    <t>iTru7_101_09</t>
  </si>
  <si>
    <t>TGTACACC</t>
  </si>
  <si>
    <t>iTru7_101_10</t>
  </si>
  <si>
    <t>GTATGCTG</t>
  </si>
  <si>
    <t>iTru7_101_11</t>
  </si>
  <si>
    <t>TGATGTCC</t>
  </si>
  <si>
    <t>iTru7_101_12</t>
  </si>
  <si>
    <t>GTCCTTCT</t>
  </si>
  <si>
    <t>iTru5_02_B</t>
  </si>
  <si>
    <t>GTGGTATG</t>
  </si>
  <si>
    <t>iTru5_02_C</t>
  </si>
  <si>
    <t>CACTGTAG</t>
  </si>
  <si>
    <t>iTru5_02_D</t>
  </si>
  <si>
    <t>AGACGCTA</t>
  </si>
  <si>
    <t>iTru5_02_E</t>
  </si>
  <si>
    <t>CAACTCCA</t>
  </si>
  <si>
    <t>iTru5_02_F</t>
  </si>
  <si>
    <t>AACACGCT</t>
  </si>
  <si>
    <t>iTru5_02_G</t>
  </si>
  <si>
    <t>TGGATGGT</t>
  </si>
  <si>
    <t>iTru5_04_A</t>
  </si>
  <si>
    <t>CGTATCTC</t>
  </si>
  <si>
    <t>iTru7_102_05</t>
  </si>
  <si>
    <t>TCACGTTC</t>
  </si>
  <si>
    <t>iTru5_04_B</t>
  </si>
  <si>
    <t>CGTCAAGA</t>
  </si>
  <si>
    <t>iTru5_04_C</t>
  </si>
  <si>
    <t>CCATGAAC</t>
  </si>
  <si>
    <t>iTru5_04_D</t>
  </si>
  <si>
    <t>GGTACTTC</t>
  </si>
  <si>
    <t>iTru5_04_E</t>
  </si>
  <si>
    <t>ACCGCTAT</t>
  </si>
  <si>
    <t>iTru5_04_F</t>
  </si>
  <si>
    <t>TTCCAGGT</t>
  </si>
  <si>
    <t>iTru5_04_G</t>
  </si>
  <si>
    <t>TCGAACCT</t>
  </si>
  <si>
    <t>iTru5_04_H</t>
  </si>
  <si>
    <t>TAGTGCCA</t>
  </si>
  <si>
    <t>iTru7_102_06</t>
  </si>
  <si>
    <t>TGTGCGTT</t>
  </si>
  <si>
    <t>iTru7_102_07</t>
  </si>
  <si>
    <t>TAGTTGCG</t>
  </si>
  <si>
    <t>iTru7_102_08</t>
  </si>
  <si>
    <t>AAGAGCCA</t>
  </si>
  <si>
    <t>iTru7_102_09</t>
  </si>
  <si>
    <t>ACAGCTCA</t>
  </si>
  <si>
    <t>iTru7_102_10</t>
  </si>
  <si>
    <t>GTTAAGGC</t>
  </si>
  <si>
    <t>iTru7_102_11</t>
  </si>
  <si>
    <t>AAGCCACA</t>
  </si>
  <si>
    <t>iTru5_01_C</t>
  </si>
  <si>
    <t>CACAGACT</t>
  </si>
  <si>
    <t>iTru7_102_03</t>
  </si>
  <si>
    <t>CGTTGCAA</t>
  </si>
  <si>
    <t>iTru5_01_D</t>
  </si>
  <si>
    <t>CGACACTT</t>
  </si>
  <si>
    <t>iTru5_01_E</t>
  </si>
  <si>
    <t>GACTTGTG</t>
  </si>
  <si>
    <t>iTru5_01_F</t>
  </si>
  <si>
    <t>GTGAGACT</t>
  </si>
  <si>
    <t>iTru5_01_G</t>
  </si>
  <si>
    <t>GTTCCATG</t>
  </si>
  <si>
    <t>iTru5_01_H</t>
  </si>
  <si>
    <t>TAGCTGAG</t>
  </si>
  <si>
    <t>iTru5_01_A</t>
  </si>
  <si>
    <t>ACCGACAA</t>
  </si>
  <si>
    <t>iTru7_102_04</t>
  </si>
  <si>
    <t>GATTCAGC</t>
  </si>
  <si>
    <t>iTru5_01_B</t>
  </si>
  <si>
    <t>AGTGGCAA</t>
  </si>
  <si>
    <t>iTru7_102_12</t>
  </si>
  <si>
    <t>ACACGGTT</t>
  </si>
  <si>
    <t>iTru7_102_01</t>
  </si>
  <si>
    <t>ATAAGGCG</t>
  </si>
  <si>
    <t>iTru5_02_H</t>
  </si>
  <si>
    <t>TTCGAAGC</t>
  </si>
  <si>
    <t>iTru7_102_02</t>
  </si>
  <si>
    <t>CTTACCTG</t>
  </si>
  <si>
    <t>Och-ACat_001-Ex1</t>
  </si>
  <si>
    <t>Och-ACat_002-Ex1</t>
  </si>
  <si>
    <t>Och-ACat_003-Ex1</t>
  </si>
  <si>
    <t>Och-ACat_004-Ex1</t>
  </si>
  <si>
    <t>Och-ACat_005-Ex1</t>
  </si>
  <si>
    <t>Och-ACat_006-Ex1</t>
  </si>
  <si>
    <t>Och-ACat_008-Ex1</t>
  </si>
  <si>
    <t>Och-ACat_010-Ex1</t>
  </si>
  <si>
    <t>Och-ACat_011-Ex1</t>
  </si>
  <si>
    <t>Och-ACat_012-Ex1</t>
  </si>
  <si>
    <t>Och-ACat_013-Ex1</t>
  </si>
  <si>
    <t>Och-ACat_014-Ex1</t>
  </si>
  <si>
    <t>Och-ACat_016-Ex1</t>
  </si>
  <si>
    <t>Och-ACat_017-Ex1</t>
  </si>
  <si>
    <t>Och-ACat_018-Ex1</t>
  </si>
  <si>
    <t>Och-ACat_019-Ex1</t>
  </si>
  <si>
    <t>Och-ACat_020-Ex1</t>
  </si>
  <si>
    <t>Och-ACat_021-Ex1</t>
  </si>
  <si>
    <t>Och-ACat_022-Ex1</t>
  </si>
  <si>
    <t>Och-ACat_023-Ex1</t>
  </si>
  <si>
    <t>Och-ACat_024-Ex1</t>
  </si>
  <si>
    <t>Och-ACat_025-Ex1</t>
  </si>
  <si>
    <t>Och-ACat_026-Ex1</t>
  </si>
  <si>
    <t>Och-ACat_027-Ex1</t>
  </si>
  <si>
    <t>Och-ACat_028-Ex1</t>
  </si>
  <si>
    <t>Och-ACat_029-Ex1</t>
  </si>
  <si>
    <t>Och-ACat_030-Ex1</t>
  </si>
  <si>
    <t>Och-ACat_031-Ex1</t>
  </si>
  <si>
    <t>Och-ACat_033-Ex1</t>
  </si>
  <si>
    <t>Och-ACat_034-Ex1</t>
  </si>
  <si>
    <t>Och-ACat_035-Ex1</t>
  </si>
  <si>
    <t>Och-ACat_036-Ex1</t>
  </si>
  <si>
    <t>Och-ACat_037-Ex1</t>
  </si>
  <si>
    <t>Och-ACat_038-Ex1</t>
  </si>
  <si>
    <t>Och-ACat_040-Ex1</t>
  </si>
  <si>
    <t>Och-ACat_041-Ex1</t>
  </si>
  <si>
    <t>Och-ATum_001-Ex1</t>
  </si>
  <si>
    <t>Och-ATum_002-Ex1</t>
  </si>
  <si>
    <t>Och-ATum_003-Ex1</t>
  </si>
  <si>
    <t>Och-ATum_004-Ex1</t>
  </si>
  <si>
    <t>Och-ATum_005-Ex1</t>
  </si>
  <si>
    <t>Och-ATum_006-Ex1</t>
  </si>
  <si>
    <t>Och-ATum_007-Ex1</t>
  </si>
  <si>
    <t>Och-ATum_008-Ex1</t>
  </si>
  <si>
    <t>Och-ATum_009-Ex1</t>
  </si>
  <si>
    <t>Och-ATum_010-Ex1</t>
  </si>
  <si>
    <t>Och-ATum_011-Ex1</t>
  </si>
  <si>
    <t>Och-ATum_012-Ex1</t>
  </si>
  <si>
    <t>Och-ATum_013-Ex1</t>
  </si>
  <si>
    <t>Och-ATum_014-Ex1</t>
  </si>
  <si>
    <t>Och-ATum_015-Ex1</t>
  </si>
  <si>
    <t>Och-ATum_016-Ex1</t>
  </si>
  <si>
    <t>Och-ATum_017-Ex1</t>
  </si>
  <si>
    <t>Och-ATum_018-Ex1</t>
  </si>
  <si>
    <t>Och-ATum_019-Ex1</t>
  </si>
  <si>
    <t>Och-ATum_020-Ex1</t>
  </si>
  <si>
    <t>Och-ATum_021-Ex1</t>
  </si>
  <si>
    <t>Och-ATum_022-Ex1</t>
  </si>
  <si>
    <t>Och-ATum_024-Ex1</t>
  </si>
  <si>
    <t>Och-ATum_025-Ex1</t>
  </si>
  <si>
    <t>Och-ATum_026-Ex1</t>
  </si>
  <si>
    <t>Och-ATum_027-Ex1</t>
  </si>
  <si>
    <t>Och-ATum_028-Ex1</t>
  </si>
  <si>
    <t>Och-ATum_029-Ex1</t>
  </si>
  <si>
    <t>Och-ATum_030-Ex1</t>
  </si>
  <si>
    <t>Och-ATum_031-Ex1</t>
  </si>
  <si>
    <t>Och-ATum_032-Ex1</t>
  </si>
  <si>
    <t>Och-ATum_034-Ex1</t>
  </si>
  <si>
    <t>Och-ATum_035-Ex1</t>
  </si>
  <si>
    <t>Och-ATum_036-Ex1</t>
  </si>
  <si>
    <t>Och-ACat_007-Ex1</t>
  </si>
  <si>
    <t>Och-ACat_009-Ex1</t>
  </si>
  <si>
    <t>Och-ACat_015-Ex1</t>
  </si>
  <si>
    <t>Och-ACat_032-Ex1</t>
  </si>
  <si>
    <t>Och-ACat_039-Ex1</t>
  </si>
  <si>
    <t>Och-ATum_023-Ex1</t>
  </si>
  <si>
    <t>Och-ATum_033-Ex1</t>
  </si>
  <si>
    <t>OcA0100101A</t>
  </si>
  <si>
    <t>Och-ACat_001-Ex1-1A-lcwgs-2-1</t>
  </si>
  <si>
    <t>OcA0100202A</t>
  </si>
  <si>
    <t>Och-ACat_002-Ex1-2A-lcwgs-2-1</t>
  </si>
  <si>
    <t>OcA0100303A</t>
  </si>
  <si>
    <t>Och-ACat_003-Ex1-3A-lcwgs-2-1</t>
  </si>
  <si>
    <t>OcA0100404A</t>
  </si>
  <si>
    <t>Och-ACat_004-Ex1-4A-lcwgs-2-1</t>
  </si>
  <si>
    <t>OcA0100505A</t>
  </si>
  <si>
    <t>Och-ACat_005-Ex1-5A-lcwgs-2-1</t>
  </si>
  <si>
    <t>OcA0100606A</t>
  </si>
  <si>
    <t>Och-ACat_006-Ex1-6A-lcwgs-2-1</t>
  </si>
  <si>
    <t>OcA0100707A</t>
  </si>
  <si>
    <t>Och-ACat_007-Ex1-7A-lcwgs-2-1</t>
  </si>
  <si>
    <t>OcA0100808A</t>
  </si>
  <si>
    <t>Och-ACat_008-Ex1-8A-lcwgs-2-1</t>
  </si>
  <si>
    <t>OcA0100909A</t>
  </si>
  <si>
    <t>Och-ACat_009-Ex1-9A-lcwgs-2-1</t>
  </si>
  <si>
    <t>OcA0101010A</t>
  </si>
  <si>
    <t>Och-ACat_010-Ex1-10A-lcwgs-2-1</t>
  </si>
  <si>
    <t>OcA0101111A</t>
  </si>
  <si>
    <t>Och-ACat_011-Ex1-11A-lcwgs-2-1</t>
  </si>
  <si>
    <t>OcA0101212A</t>
  </si>
  <si>
    <t>Och-ACat_012-Ex1-12A-lcwgs-2-1</t>
  </si>
  <si>
    <t>OcA0101301B</t>
  </si>
  <si>
    <t>Och-ACat_013-Ex1-1B-lcwgs-2-1</t>
  </si>
  <si>
    <t>OcA0101402B</t>
  </si>
  <si>
    <t>Och-ACat_014-Ex1-2B-lcwgs-2-1</t>
  </si>
  <si>
    <t>OcA0101503B</t>
  </si>
  <si>
    <t>Och-ACat_015-Ex1-3B-lcwgs-2-1</t>
  </si>
  <si>
    <t>OcA0101604B</t>
  </si>
  <si>
    <t>Och-ACat_016-Ex1-4B-lcwgs-2-1</t>
  </si>
  <si>
    <t>OcA0101705B</t>
  </si>
  <si>
    <t>Och-ACat_017-Ex1-5B-lcwgs-2-1</t>
  </si>
  <si>
    <t>OcA0101806B</t>
  </si>
  <si>
    <t>Och-ACat_018-Ex1-6B-lcwgs-2-1</t>
  </si>
  <si>
    <t>OcA0101907B</t>
  </si>
  <si>
    <t>Och-ACat_019-Ex1-7B-lcwgs-2-1</t>
  </si>
  <si>
    <t>OcA0102008B</t>
  </si>
  <si>
    <t>Och-ACat_020-Ex1-8B-lcwgs-2-1</t>
  </si>
  <si>
    <t>OcA0102109B</t>
  </si>
  <si>
    <t>Och-ACat_021-Ex1-9B-lcwgs-2-1</t>
  </si>
  <si>
    <t>OcA0102210B</t>
  </si>
  <si>
    <t>Och-ACat_022-Ex1-10B-lcwgs-2-1</t>
  </si>
  <si>
    <t>OcA0102311B</t>
  </si>
  <si>
    <t>Och-ACat_023-Ex1-11B-lcwgs-2-1</t>
  </si>
  <si>
    <t>OcA0102412B</t>
  </si>
  <si>
    <t>Och-ACat_024-Ex1-12B-lcwgs-2-1</t>
  </si>
  <si>
    <t>OcA0102501C</t>
  </si>
  <si>
    <t>Och-ACat_025-Ex1-1C-lcwgs-2-1</t>
  </si>
  <si>
    <t>OcA0102602C</t>
  </si>
  <si>
    <t>Och-ACat_026-Ex1-2C-lcwgs-2-1</t>
  </si>
  <si>
    <t>OcA0102703C</t>
  </si>
  <si>
    <t>Och-ACat_027-Ex1-3C-lcwgs-2-1</t>
  </si>
  <si>
    <t>OcA0102804C</t>
  </si>
  <si>
    <t>Och-ACat_028-Ex1-4C-lcwgs-2-1</t>
  </si>
  <si>
    <t>OcA0102905C</t>
  </si>
  <si>
    <t>Och-ACat_029-Ex1-5C-lcwgs-2-1</t>
  </si>
  <si>
    <t>OcA0103006C</t>
  </si>
  <si>
    <t>Och-ACat_030-Ex1-6C-lcwgs-2-1</t>
  </si>
  <si>
    <t>OcA0103107C</t>
  </si>
  <si>
    <t>Och-ACat_031-Ex1-7C-lcwgs-2-1</t>
  </si>
  <si>
    <t>OcA0103208C</t>
  </si>
  <si>
    <t>Och-ACat_032-Ex1-8C-lcwgs-2-1</t>
  </si>
  <si>
    <t>OcA0103309C</t>
  </si>
  <si>
    <t>Och-ACat_033-Ex1-9C-lcwgs-2-1</t>
  </si>
  <si>
    <t>OcA0103410C</t>
  </si>
  <si>
    <t>Och-ACat_034-Ex1-10C-lcwgs-2-1</t>
  </si>
  <si>
    <t>OcA0103511C</t>
  </si>
  <si>
    <t>Och-ACat_035-Ex1-11C-lcwgs-2-1</t>
  </si>
  <si>
    <t>OcA0103612C</t>
  </si>
  <si>
    <t>Och-ACat_036-Ex1-12C-lcwgs-2-1</t>
  </si>
  <si>
    <t>OcA0103701D</t>
  </si>
  <si>
    <t>Och-ACat_037-Ex1-1D-lcwgs-2-1</t>
  </si>
  <si>
    <t>OcA0103802D</t>
  </si>
  <si>
    <t>Och-ACat_038-Ex1-2D-lcwgs-2-1</t>
  </si>
  <si>
    <t>OcA0103903D</t>
  </si>
  <si>
    <t>Och-ACat_039-Ex1-3D-lcwgs-2-1</t>
  </si>
  <si>
    <t>OcA0104004D</t>
  </si>
  <si>
    <t>Och-ACat_040-Ex1-4D-lcwgs-2-1</t>
  </si>
  <si>
    <t>OcA0104105D</t>
  </si>
  <si>
    <t>Och-ACat_041-Ex1-5D-lcwgs-2-1</t>
  </si>
  <si>
    <t>OcA0100106D</t>
  </si>
  <si>
    <t>Och-ATum_001-Ex1-6D-lcwgs-2-1</t>
  </si>
  <si>
    <t>OcA0100207D</t>
  </si>
  <si>
    <t>Och-ATum_002-Ex1-7D-lcwgs-2-1</t>
  </si>
  <si>
    <t>OcA0100308D</t>
  </si>
  <si>
    <t>Och-ATum_003-Ex1-8D-lcwgs-2-1</t>
  </si>
  <si>
    <t>OcA0100409D</t>
  </si>
  <si>
    <t>Och-ATum_004-Ex1-9D-lcwgs-2-1</t>
  </si>
  <si>
    <t>OcA0100510D</t>
  </si>
  <si>
    <t>Och-ATum_005-Ex1-10D-lcwgs-2-1</t>
  </si>
  <si>
    <t>OcA0100611D</t>
  </si>
  <si>
    <t>Och-ATum_006-Ex1-11D-lcwgs-2-1</t>
  </si>
  <si>
    <t>OcA0100712D</t>
  </si>
  <si>
    <t>Och-ATum_007-Ex1-12D-lcwgs-2-1</t>
  </si>
  <si>
    <t>Och-ATum_008-Ex1-1E -lcwgs-2-1</t>
  </si>
  <si>
    <t xml:space="preserve">OcA0100902E </t>
  </si>
  <si>
    <t>Och-ATum_009-Ex1-2E -lcwgs-2-1</t>
  </si>
  <si>
    <t xml:space="preserve">OcA0101003E </t>
  </si>
  <si>
    <t>Och-ATum_010-Ex1-3E -lcwgs-2-1</t>
  </si>
  <si>
    <t xml:space="preserve">OcA0101104E </t>
  </si>
  <si>
    <t>Och-ATum_011-Ex1-4E -lcwgs-2-1</t>
  </si>
  <si>
    <t xml:space="preserve">OcA0101205E </t>
  </si>
  <si>
    <t>Och-ATum_012-Ex1-5E -lcwgs-2-1</t>
  </si>
  <si>
    <t xml:space="preserve">OcA0101306E </t>
  </si>
  <si>
    <t>Och-ATum_013-Ex1-6E -lcwgs-2-1</t>
  </si>
  <si>
    <t xml:space="preserve">OcA0101407E </t>
  </si>
  <si>
    <t>Och-ATum_014-Ex1-7E -lcwgs-2-1</t>
  </si>
  <si>
    <t xml:space="preserve">OcA0101508E </t>
  </si>
  <si>
    <t>Och-ATum_015-Ex1-8E -lcwgs-2-1</t>
  </si>
  <si>
    <t xml:space="preserve">OcA0101609E </t>
  </si>
  <si>
    <t>Och-ATum_016-Ex1-9E -lcwgs-2-1</t>
  </si>
  <si>
    <t xml:space="preserve">OcA0101710E </t>
  </si>
  <si>
    <t>Och-ATum_017-Ex1-10E -lcwgs-2-1</t>
  </si>
  <si>
    <t xml:space="preserve">OcA0101811E </t>
  </si>
  <si>
    <t>Och-ATum_018-Ex1-11E -lcwgs-2-1</t>
  </si>
  <si>
    <t xml:space="preserve">OcA0101912E </t>
  </si>
  <si>
    <t>Och-ATum_019-Ex1-12E -lcwgs-2-1</t>
  </si>
  <si>
    <t>OcA0102001F</t>
  </si>
  <si>
    <t>Och-ATum_020-Ex1-1F-lcwgs-2-1</t>
  </si>
  <si>
    <t>OcA0102102F</t>
  </si>
  <si>
    <t>Och-ATum_021-Ex1-2F-lcwgs-2-1</t>
  </si>
  <si>
    <t>OcA0102203F</t>
  </si>
  <si>
    <t>Och-ATum_022-Ex1-3F-lcwgs-2-1</t>
  </si>
  <si>
    <t>OcA0102304F</t>
  </si>
  <si>
    <t>Och-ATum_023-Ex1-4F-lcwgs-2-1</t>
  </si>
  <si>
    <t>OcA0102405F</t>
  </si>
  <si>
    <t>Och-ATum_024-Ex1-5F-lcwgs-2-1</t>
  </si>
  <si>
    <t>OcA0102506F</t>
  </si>
  <si>
    <t>Och-ATum_025-Ex1-6F-lcwgs-2-1</t>
  </si>
  <si>
    <t>OcA0102607F</t>
  </si>
  <si>
    <t>Och-ATum_026-Ex1-7F-lcwgs-2-1</t>
  </si>
  <si>
    <t>OcA0102708F</t>
  </si>
  <si>
    <t>Och-ATum_027-Ex1-8F-lcwgs-2-1</t>
  </si>
  <si>
    <t>OcA0102809F</t>
  </si>
  <si>
    <t>Och-ATum_028-Ex1-9F-lcwgs-2-1</t>
  </si>
  <si>
    <t>OcA0102910F</t>
  </si>
  <si>
    <t>Och-ATum_029-Ex1-10F-lcwgs-2-1</t>
  </si>
  <si>
    <t>OcA0103011F</t>
  </si>
  <si>
    <t>Och-ATum_030-Ex1-11F-lcwgs-2-1</t>
  </si>
  <si>
    <t>OcA0103112F</t>
  </si>
  <si>
    <t>Och-ATum_031-Ex1-12F-lcwgs-2-1</t>
  </si>
  <si>
    <t>OcA0103201G</t>
  </si>
  <si>
    <t>Och-ATum_032-Ex1-1G-lcwgs-2-1</t>
  </si>
  <si>
    <t>OcA0103302G</t>
  </si>
  <si>
    <t>Och-ATum_033-Ex1-2G-lcwgs-2-1</t>
  </si>
  <si>
    <t>OcA0103403G</t>
  </si>
  <si>
    <t>Och-ATum_034-Ex1-3G-lcwgs-2-1</t>
  </si>
  <si>
    <t>OcA0103504G</t>
  </si>
  <si>
    <t>Och-ATum_035-Ex1-4G-lcwgs-2-1</t>
  </si>
  <si>
    <t>OcA0103605G</t>
  </si>
  <si>
    <t>Och-ATum_036-Ex1-5G-lcwgs-2-1</t>
  </si>
  <si>
    <t>OcC0800105A</t>
  </si>
  <si>
    <t>Och-CTum_001-Ex1-5A-lcwgs-1-1</t>
  </si>
  <si>
    <t>OcC0800205B</t>
  </si>
  <si>
    <t>Och-CTum_002-Ex1-5B-lcwgs-1-1</t>
  </si>
  <si>
    <t>OcC0800305C</t>
  </si>
  <si>
    <t>Och-CTum_003-Ex1-5C-lcwgs-1-1</t>
  </si>
  <si>
    <t>OcC0800405D</t>
  </si>
  <si>
    <t>Och-CTum_004-Ex1-5D-lcwgs-1-1</t>
  </si>
  <si>
    <t>OcC0800505E</t>
  </si>
  <si>
    <t>Och-CTum_005-Ex1-5E-lcwgs-1-1</t>
  </si>
  <si>
    <t>OcC0800605F</t>
  </si>
  <si>
    <t>Och-CTum_006-Ex1-5F-lcwgs-1-1</t>
  </si>
  <si>
    <t>OcC0800705G</t>
  </si>
  <si>
    <t>Och-CTum_007-Ex1-5G-lcwgs-1-1</t>
  </si>
  <si>
    <t>OcC0800805H</t>
  </si>
  <si>
    <t>Och-CTum_008-Ex1-5H-lcwgs-1-1</t>
  </si>
  <si>
    <t>OcC0800906A</t>
  </si>
  <si>
    <t>Och-CTum_009-Ex1-6A-lcwgs-1-1</t>
  </si>
  <si>
    <t>OcC0801006B</t>
  </si>
  <si>
    <t>Och-CTum_010-Ex1-6B-lcwgs-1-1</t>
  </si>
  <si>
    <t>OcC0801106C</t>
  </si>
  <si>
    <t>Och-CTum_011-Ex1-6C-lcwgs-1-1</t>
  </si>
  <si>
    <t>OcC0801206D</t>
  </si>
  <si>
    <t>Och-CTum_012-Ex1-6D-lcwgs-1-1</t>
  </si>
  <si>
    <t>OcC0801306E</t>
  </si>
  <si>
    <t>Och-CTum_013-Ex1-6E-lcwgs-1-1</t>
  </si>
  <si>
    <t>OcC0801406F</t>
  </si>
  <si>
    <t>Och-CTum_014-Ex1-6F-lcwgs-1-1</t>
  </si>
  <si>
    <t>OcC0801506G</t>
  </si>
  <si>
    <t>Och-CTum_015-Ex1-6G-lcwgs-1-1</t>
  </si>
  <si>
    <t>OcC0801606H</t>
  </si>
  <si>
    <t>Och-CTum_016-Ex1-6H-lcwgs-1-1</t>
  </si>
  <si>
    <t>OcC0801707A</t>
  </si>
  <si>
    <t>Och-CTum_017-Ex1-7A-lcwgs-1-1</t>
  </si>
  <si>
    <t>OcC0801807B</t>
  </si>
  <si>
    <t>Och-CTum_018-Ex1-7B-lcwgs-1-1</t>
  </si>
  <si>
    <t>OcC0801907C</t>
  </si>
  <si>
    <t>Och-CTum_019-Ex1-7C-lcwgs-1-1</t>
  </si>
  <si>
    <t>OcC0802007D</t>
  </si>
  <si>
    <t>Och-CTum_020-Ex1-7D-lcwgs-1-1</t>
  </si>
  <si>
    <t>OcC0802107E</t>
  </si>
  <si>
    <t>Och-CTum_021-Ex1-7E-lcwgs-1-1</t>
  </si>
  <si>
    <t>OcC0802207F</t>
  </si>
  <si>
    <t>Och-CTum_022-Ex1-7F-lcwgs-1-1</t>
  </si>
  <si>
    <t>OcC0802307G</t>
  </si>
  <si>
    <t>Och-CTum_023-Ex1-7G-lcwgs-1-1</t>
  </si>
  <si>
    <t>OcC0802407H</t>
  </si>
  <si>
    <t>Och-CTum_024-Ex1-7H-lcwgs-1-1</t>
  </si>
  <si>
    <t>OcC0802508A</t>
  </si>
  <si>
    <t>Och-CTum_025-Ex1-8A-lcwgs-1-1</t>
  </si>
  <si>
    <t>OcC0802608B</t>
  </si>
  <si>
    <t>Och-CTum_026-Ex1-8B-lcwgs-1-1</t>
  </si>
  <si>
    <t>OcC0802708C</t>
  </si>
  <si>
    <t>Och-CTum_027-Ex1-8C-lcwgs-1-1</t>
  </si>
  <si>
    <t>OcC0802808D</t>
  </si>
  <si>
    <t>Och-CTum_028-Ex1-8D-lcwgs-1-1</t>
  </si>
  <si>
    <t>OcC0802908E</t>
  </si>
  <si>
    <t>Och-CTum_029-Ex1-8E-lcwgs-1-1</t>
  </si>
  <si>
    <t>OcC0803008F</t>
  </si>
  <si>
    <t>Och-CTum_030-Ex1-8F-lcwgs-1-1</t>
  </si>
  <si>
    <t>OcC0803108G</t>
  </si>
  <si>
    <t>Och-CTum_031-Ex1-8G-lcwgs-1-1</t>
  </si>
  <si>
    <t>OcC0803208H</t>
  </si>
  <si>
    <t>Och-CTum_032-Ex1-8H-lcwgs-1-1</t>
  </si>
  <si>
    <t>OcC0803309A</t>
  </si>
  <si>
    <t>Och-CTum_033-Ex1-9A-lcwgs-1-1</t>
  </si>
  <si>
    <t>OcC0803409B</t>
  </si>
  <si>
    <t>Och-CTum_034-Ex1-9B-lcwgs-1-1</t>
  </si>
  <si>
    <t>OcC0803509C</t>
  </si>
  <si>
    <t>Och-CTum_035-Ex1-9C-lcwgs-1-1</t>
  </si>
  <si>
    <t>OcC0803609D</t>
  </si>
  <si>
    <t>Och-CTum_036-Ex1-9D-lcwgs-1-1</t>
  </si>
  <si>
    <t>OcC0803709E</t>
  </si>
  <si>
    <t>Och-CTum_037-Ex1-9E-lcwgs-1-1</t>
  </si>
  <si>
    <t>OcC0803809F</t>
  </si>
  <si>
    <t>Och-CTum_038-Ex1-9F-lcwgs-1-1</t>
  </si>
  <si>
    <t>OcC0803909G</t>
  </si>
  <si>
    <t>Och-CTum_039-Ex1-9G-lcwgs-1-1</t>
  </si>
  <si>
    <t>OcC0804009H</t>
  </si>
  <si>
    <t>Och-CTum_040-Ex1-9H-lcwgs-1-1</t>
  </si>
  <si>
    <t>OcC0804110A</t>
  </si>
  <si>
    <t>Och-CTum_041-Ex1-10A-lcwgs-1-1</t>
  </si>
  <si>
    <t>OcC0804210B</t>
  </si>
  <si>
    <t>Och-CTum_042-Ex1-10B-lcwgs-1-1</t>
  </si>
  <si>
    <t>OcC0804310C</t>
  </si>
  <si>
    <t>Och-CTum_043-Ex1-10C-lcwgs-1-1</t>
  </si>
  <si>
    <t>OcC0804410D</t>
  </si>
  <si>
    <t>Och-CTum_044-Ex1-10D-lcwgs-1-1</t>
  </si>
  <si>
    <t>OcC0804510E</t>
  </si>
  <si>
    <t>Och-CTum_045-Ex1-10E-lcwgs-1-1</t>
  </si>
  <si>
    <t>OcC0804710G</t>
  </si>
  <si>
    <t>Och-CTum_047-Ex1-10G-lcwgs-1-1</t>
  </si>
  <si>
    <t>OcC0804810H</t>
  </si>
  <si>
    <t>Och-CTum_048-Ex1-10H-lcwgs-1-1</t>
  </si>
  <si>
    <t>OcC0804911A</t>
  </si>
  <si>
    <t>Och-CTum_049-Ex1-11A-lcwgs-1-1</t>
  </si>
  <si>
    <t>OcC0805011B</t>
  </si>
  <si>
    <t>Och-CTum_050-Ex1-11B-lcwgs-1-1</t>
  </si>
  <si>
    <t>OcC0805111C</t>
  </si>
  <si>
    <t>Och-CTum_051-Ex1-11C-lcwgs-1-1</t>
  </si>
  <si>
    <t>OcA0100704A</t>
  </si>
  <si>
    <t>Och-ACat_007-Ex1-4A-lcwgs-1-1</t>
  </si>
  <si>
    <t>OcA0100904C</t>
  </si>
  <si>
    <t>Och-ACat_009-Ex1-4C-lcwgs-1-1</t>
  </si>
  <si>
    <t>OcA0101505A</t>
  </si>
  <si>
    <t>Och-ACat_015-Ex1-5A-lcwgs-1-1</t>
  </si>
  <si>
    <t>OcA0103207B</t>
  </si>
  <si>
    <t>Och-ACat_032-Ex1-7B-lcwgs-1-1</t>
  </si>
  <si>
    <t>OcA0103908A</t>
  </si>
  <si>
    <t>Och-ACat_039-Ex1-8A-lcwgs-1-1</t>
  </si>
  <si>
    <t>Och-ATum_023-Ex1-11B-lcwgs-1-1</t>
  </si>
  <si>
    <t>OcA0103312D</t>
  </si>
  <si>
    <t>Och-ATum_033-Ex1-12D-lcwgs-1-1</t>
  </si>
  <si>
    <t>OcC0200101A</t>
  </si>
  <si>
    <t>Och-CCat_001-Ex1-1A-lcwgs-1-1</t>
  </si>
  <si>
    <t>OcC0200201B</t>
  </si>
  <si>
    <t>Och-CCat_002-Ex1-1B-lcwgs-1-1</t>
  </si>
  <si>
    <t>OcC0200301C</t>
  </si>
  <si>
    <t>Och-CCat_003-Ex1-1C-lcwgs-1-1</t>
  </si>
  <si>
    <t>OcC0200401D</t>
  </si>
  <si>
    <t>Och-CCat_004-Ex1-1D-lcwgs-1-1</t>
  </si>
  <si>
    <t>OcC0200501E</t>
  </si>
  <si>
    <t>Och-CCat_005-Ex1-1E-lcwgs-1-1</t>
  </si>
  <si>
    <t>OcC0200601F</t>
  </si>
  <si>
    <t>Och-CCat_006-Ex1-1F-lcwgs-1-1</t>
  </si>
  <si>
    <t>OcC0200701G</t>
  </si>
  <si>
    <t>Och-CCat_007-Ex1-1G-lcwgs-1-1</t>
  </si>
  <si>
    <t>OcC0200801H</t>
  </si>
  <si>
    <t>Och-CCat_008-Ex1-1H-lcwgs-1-1</t>
  </si>
  <si>
    <t>OcC0200902A</t>
  </si>
  <si>
    <t>Och-CCat_009-Ex1-2A-lcwgs-1-1</t>
  </si>
  <si>
    <t>OcC0201002B</t>
  </si>
  <si>
    <t>Och-CCat_010-Ex1-2B-lcwgs-1-1</t>
  </si>
  <si>
    <t>OcC0201102C</t>
  </si>
  <si>
    <t>Och-CCat_011-Ex1-2C-lcwgs-1-1</t>
  </si>
  <si>
    <t>OcC0201202D</t>
  </si>
  <si>
    <t>Och-CCat_012-Ex1-2D-lcwgs-1-1</t>
  </si>
  <si>
    <t>OcC0201302E</t>
  </si>
  <si>
    <t>Och-CCat_013-Ex1-2E-lcwgs-1-1</t>
  </si>
  <si>
    <t>OcC0201402F</t>
  </si>
  <si>
    <t>Och-CCat_014-Ex1-2F-lcwgs-1-1</t>
  </si>
  <si>
    <t>OcC0201502G</t>
  </si>
  <si>
    <t>Och-CCat_015-Ex1-2G-lcwgs-1-1</t>
  </si>
  <si>
    <t>OcC0201602H</t>
  </si>
  <si>
    <t>Och-CCat_016-Ex1-2H-lcwgs-1-1</t>
  </si>
  <si>
    <t>OcC0201703A</t>
  </si>
  <si>
    <t>Och-CCat_017-Ex1-3A-lcwgs-1-1</t>
  </si>
  <si>
    <t>OcC0201803B</t>
  </si>
  <si>
    <t>Och-CCat_018-Ex1-3B-lcwgs-1-1</t>
  </si>
  <si>
    <t>OcC0201903C</t>
  </si>
  <si>
    <t>Och-CCat_019-Ex1-3C-lcwgs-1-1</t>
  </si>
  <si>
    <t>OcC0202003D</t>
  </si>
  <si>
    <t>Och-CCat_020-Ex1-3D-lcwgs-1-1</t>
  </si>
  <si>
    <t>OcC0202103E</t>
  </si>
  <si>
    <t>Och-CCat_021-Ex1-3E-lcwgs-1-1</t>
  </si>
  <si>
    <t>OcC0202203F</t>
  </si>
  <si>
    <t>Och-CCat_022-Ex1-3F-lcwgs-1-1</t>
  </si>
  <si>
    <t>OcC0203103G</t>
  </si>
  <si>
    <t>Och-CCat_031-Ex1-3G-lcwgs-1-1</t>
  </si>
  <si>
    <t>OcC0202903H</t>
  </si>
  <si>
    <t>Och-CCat_029-Ex1-3H-lcwgs-1-1</t>
  </si>
  <si>
    <t>OcC0202504A</t>
  </si>
  <si>
    <t>Och-CCat_025-Ex1-4A-lcwgs-1-1</t>
  </si>
  <si>
    <t>OcC0203704B</t>
  </si>
  <si>
    <t>Och-CCat_037-Ex1-4B-lcwgs-1-1</t>
  </si>
  <si>
    <t>OcC0203804C</t>
  </si>
  <si>
    <t>Och-CCat_038-Ex1-4C-lcwgs-1-1</t>
  </si>
  <si>
    <t>OcC0209404D</t>
  </si>
  <si>
    <t>Och-CCat_094-Ex1-4D-lcwgs-1-1</t>
  </si>
  <si>
    <t>OcC0202304E</t>
  </si>
  <si>
    <t>Och-CCat_023-Ex1-4E-lcwgs-1-1</t>
  </si>
  <si>
    <t>OcC0206504F</t>
  </si>
  <si>
    <t>Och-CCat_065-Ex1-4F-lcwgs-1-1</t>
  </si>
  <si>
    <t>OcC0206804G</t>
  </si>
  <si>
    <t>Och-CCat_068-Ex1-4G-lcwgs-1-1</t>
  </si>
  <si>
    <t>OcC0204704H</t>
  </si>
  <si>
    <t>Och-CCat_047-Ex1-4H-lcwgs-1-1</t>
  </si>
  <si>
    <t>OcC0207705A</t>
  </si>
  <si>
    <t>Och-CCat_077-Ex1-5A-lcwgs-1-1</t>
  </si>
  <si>
    <t>OcC0207505B</t>
  </si>
  <si>
    <t>Och-CCat_075-Ex1-5B-lcwgs-1-1</t>
  </si>
  <si>
    <t>OcC0202805C</t>
  </si>
  <si>
    <t>Och-CCat_028-Ex1-5C-lcwgs-1-1</t>
  </si>
  <si>
    <t>OcC0203605D</t>
  </si>
  <si>
    <t>Och-CCat_036-Ex1-5D-lcwgs-1-1</t>
  </si>
  <si>
    <t>OcC0206305E</t>
  </si>
  <si>
    <t>Och-CCat_063-Ex1-5E-lcwgs-1-1</t>
  </si>
  <si>
    <t>OcC0206905F</t>
  </si>
  <si>
    <t>Och-CCat_069-Ex1-5F-lcwgs-1-1</t>
  </si>
  <si>
    <t>OcC0202405G</t>
  </si>
  <si>
    <t>Och-CCat_024-Ex1-5G-lcwgs-1-1</t>
  </si>
  <si>
    <t>OcC0207605H</t>
  </si>
  <si>
    <t>Och-CCat_076-Ex1-5H-lcwgs-1-1</t>
  </si>
  <si>
    <t>OcC0203506A</t>
  </si>
  <si>
    <t>Och-CCat_035-Ex1-6A-lcwgs-1-1</t>
  </si>
  <si>
    <t>OcC0209606B</t>
  </si>
  <si>
    <t>Och-CCat_096-Ex1-6B-lcwgs-1-1</t>
  </si>
  <si>
    <t>OcC0208706C</t>
  </si>
  <si>
    <t>Och-CCat_087-Ex1-6C-lcwgs-1-1</t>
  </si>
  <si>
    <t>OcC0207406E</t>
  </si>
  <si>
    <t>Och-CCat_074-Ex1-6E-lcwgs-1-1</t>
  </si>
  <si>
    <t>OcC0208306F</t>
  </si>
  <si>
    <t>Och-CCat_083-Ex1-6F-lcwgs-1-1</t>
  </si>
  <si>
    <t>OcC0208506G</t>
  </si>
  <si>
    <t>Och-CCat_085-Ex1-6G-lcwgs-1-1</t>
  </si>
  <si>
    <t>OcC0208206H</t>
  </si>
  <si>
    <t>Och-CCat_082-Ex1-6H-lcwgs-1-1</t>
  </si>
  <si>
    <t>OcC0206607A</t>
  </si>
  <si>
    <t>Och-CCat_066-Ex1-7A-lcwgs-1-1</t>
  </si>
  <si>
    <t>OcC0209507B</t>
  </si>
  <si>
    <t>Och-CCat_095-Ex1-7B-lcwgs-1-1</t>
  </si>
  <si>
    <t>OcC0208007C</t>
  </si>
  <si>
    <t>Och-CCat_080-Ex1-7C-lcwgs-1-1</t>
  </si>
  <si>
    <t>OcC0208407D</t>
  </si>
  <si>
    <t>Och-CCat_084-Ex1-7D-lcwgs-1-1</t>
  </si>
  <si>
    <t>OcC0207207E</t>
  </si>
  <si>
    <t>Och-CCat_072-Ex1-7E-lcwgs-1-1</t>
  </si>
  <si>
    <t>OcC0207007F</t>
  </si>
  <si>
    <t>Och-CCat_070-Ex1-7F-lcwgs-1-1</t>
  </si>
  <si>
    <t>OcC0209107G</t>
  </si>
  <si>
    <t>Och-CCat_091-Ex1-7G-lcwgs-1-1</t>
  </si>
  <si>
    <t>OcC0208807H</t>
  </si>
  <si>
    <t>Och-CCat_088-Ex1-7H-lcwgs-1-1</t>
  </si>
  <si>
    <t>OcC0207908A</t>
  </si>
  <si>
    <t>Och-CCat_079-Ex1-8A-lcwgs-1-1</t>
  </si>
  <si>
    <t>OcC0205108B</t>
  </si>
  <si>
    <t>Och-CCat_051-Ex1-8B-lcwgs-1-1</t>
  </si>
  <si>
    <t>OcC0205908C</t>
  </si>
  <si>
    <t>Och-CCat_059-Ex1-8C-lcwgs-1-1</t>
  </si>
  <si>
    <t>OcC0208108D</t>
  </si>
  <si>
    <t>Och-CCat_081-Ex1-8D-lcwgs-1-1</t>
  </si>
  <si>
    <t>OcC0208608E</t>
  </si>
  <si>
    <t>Och-CCat_086-Ex1-8E-lcwgs-1-1</t>
  </si>
  <si>
    <t>OcC0209208F</t>
  </si>
  <si>
    <t>Och-CCat_092-Ex1-8F-lcwgs-1-1</t>
  </si>
  <si>
    <t>OcC0209008G</t>
  </si>
  <si>
    <t>Och-CCat_090-Ex1-8G-lcwgs-1-1</t>
  </si>
  <si>
    <t>OcC0207108H</t>
  </si>
  <si>
    <t>Och-CCat_071-Ex1-8H-lcwgs-1-1</t>
  </si>
  <si>
    <t>OcA0100801E</t>
  </si>
  <si>
    <t>OcA0100902E</t>
  </si>
  <si>
    <t>OcA0101003E</t>
  </si>
  <si>
    <t>OcA0101104E</t>
  </si>
  <si>
    <t>OcA0101205E</t>
  </si>
  <si>
    <t>OcA0101306E</t>
  </si>
  <si>
    <t>OcA0101407E</t>
  </si>
  <si>
    <t>OcA0101508E</t>
  </si>
  <si>
    <t>OcA0101609E</t>
  </si>
  <si>
    <t>OcA0101710E</t>
  </si>
  <si>
    <t>OcA0101811E</t>
  </si>
  <si>
    <t>OcA0101912E</t>
  </si>
  <si>
    <t>Sample Name</t>
  </si>
  <si>
    <t>i5 Index</t>
  </si>
  <si>
    <t>Vol original library pooled</t>
  </si>
  <si>
    <t>fqc_total_sequences_raw</t>
  </si>
  <si>
    <t>fqc_total_sequences_rprd</t>
  </si>
  <si>
    <t>Pool for full seq?</t>
  </si>
  <si>
    <t>vol to pool</t>
  </si>
  <si>
    <t>Och-ACat</t>
  </si>
  <si>
    <t>All</t>
  </si>
  <si>
    <t>Och-ATum</t>
  </si>
  <si>
    <t>Och-CCat</t>
  </si>
  <si>
    <t>Och-CTum</t>
  </si>
  <si>
    <t>Och-ACan_001</t>
  </si>
  <si>
    <t>Och-ACan_001-Ex1</t>
  </si>
  <si>
    <t>Och-ACan_002</t>
  </si>
  <si>
    <t>Och-ACan_002-Ex1</t>
  </si>
  <si>
    <t>Och-ACan_003</t>
  </si>
  <si>
    <t>Och-ACan_003-Ex1</t>
  </si>
  <si>
    <t>Och-ACan_004</t>
  </si>
  <si>
    <t>Och-ACan_004-Ex1</t>
  </si>
  <si>
    <t>Och-ACan_005</t>
  </si>
  <si>
    <t>Och-ACan_005-Ex1</t>
  </si>
  <si>
    <t>Och-ACan_006</t>
  </si>
  <si>
    <t>Och-ACan_006-Ex1</t>
  </si>
  <si>
    <t>Och-ACan_007</t>
  </si>
  <si>
    <t>Och-ACan_007-Ex1</t>
  </si>
  <si>
    <t>Och-ACan_008</t>
  </si>
  <si>
    <t>Och-ACan_008-Ex1</t>
  </si>
  <si>
    <t>Och-ACan_009</t>
  </si>
  <si>
    <t>Och-ACan_009-Ex1</t>
  </si>
  <si>
    <t>Och-ACan_010</t>
  </si>
  <si>
    <t>Och-ACan_010-Ex1</t>
  </si>
  <si>
    <t>Och-ACan_011</t>
  </si>
  <si>
    <t>Och-ACan_011-Ex1</t>
  </si>
  <si>
    <t>Och-ACan_012</t>
  </si>
  <si>
    <t>Och-ACan_012-Ex1</t>
  </si>
  <si>
    <t>Och-ACan_013</t>
  </si>
  <si>
    <t>Och-ACan_013-Ex1</t>
  </si>
  <si>
    <t>Och-ACan_014</t>
  </si>
  <si>
    <t>Och-ACan_014-Ex1</t>
  </si>
  <si>
    <t>Och-ACan_015</t>
  </si>
  <si>
    <t>Och-ACan_015-Ex1</t>
  </si>
  <si>
    <t>Och-ACan_016</t>
  </si>
  <si>
    <t>Och-ACan_016-Ex1</t>
  </si>
  <si>
    <t>Och-ACan_017</t>
  </si>
  <si>
    <t>Och-ACan_017-Ex1</t>
  </si>
  <si>
    <t>Och-ACan_018</t>
  </si>
  <si>
    <t>Och-ACan_018-Ex1</t>
  </si>
  <si>
    <t>Och-ACan_019</t>
  </si>
  <si>
    <t>Och-ACan_019-Ex1</t>
  </si>
  <si>
    <t>Och-ACan_020</t>
  </si>
  <si>
    <t>Och-ACan_020-Ex1</t>
  </si>
  <si>
    <t>Och-ACan_021</t>
  </si>
  <si>
    <t>Och-ACan_021-Ex1</t>
  </si>
  <si>
    <t>Och-ACan_022</t>
  </si>
  <si>
    <t>Och-ACan_022-Ex1</t>
  </si>
  <si>
    <t>Och-ACan_023</t>
  </si>
  <si>
    <t>Och-ACan_023-Ex1</t>
  </si>
  <si>
    <t>Och-ACan_024</t>
  </si>
  <si>
    <t>Och-ACan_024-Ex1</t>
  </si>
  <si>
    <t>Mix-A_005-Ex1</t>
  </si>
  <si>
    <t>Och-ACan_LCWGS-libraries</t>
  </si>
  <si>
    <t>Och-CBur_013</t>
  </si>
  <si>
    <t>Och-CBur_025</t>
  </si>
  <si>
    <t>Och-CBur_037</t>
  </si>
  <si>
    <t>Och-CBur_049</t>
  </si>
  <si>
    <t>Och-CBur_061</t>
  </si>
  <si>
    <t>Och-CBur_073</t>
  </si>
  <si>
    <t>Och-CBur_014</t>
  </si>
  <si>
    <t>Och-CBur_026</t>
  </si>
  <si>
    <t>Och-CBur_038</t>
  </si>
  <si>
    <t>Och-CBur_062</t>
  </si>
  <si>
    <t>Och-CBur_074</t>
  </si>
  <si>
    <t>Och-CBur_086</t>
  </si>
  <si>
    <t>Och-CBur_015</t>
  </si>
  <si>
    <t>Och-CBur_051</t>
  </si>
  <si>
    <t>Och-CBur_063</t>
  </si>
  <si>
    <t>Och-CBur_087</t>
  </si>
  <si>
    <t>Och-CBur_016</t>
  </si>
  <si>
    <t>Och-CBur_028</t>
  </si>
  <si>
    <t>Och-CBur_040</t>
  </si>
  <si>
    <t>Och-CBur_052</t>
  </si>
  <si>
    <t>Och-CBur_064</t>
  </si>
  <si>
    <t>Och-CBur_076</t>
  </si>
  <si>
    <t>Och-CBur_088</t>
  </si>
  <si>
    <t>Och-CBur_017</t>
  </si>
  <si>
    <t>Och-CBur_029</t>
  </si>
  <si>
    <t>Och-CBur_041</t>
  </si>
  <si>
    <t>Och-CBur_053</t>
  </si>
  <si>
    <t>Och-CBur_065</t>
  </si>
  <si>
    <t>Och-CBur_077</t>
  </si>
  <si>
    <t>Och-CBur_089</t>
  </si>
  <si>
    <t>Och-CBur_018</t>
  </si>
  <si>
    <t>Och-CBur_030</t>
  </si>
  <si>
    <t>Och-CBur_042</t>
  </si>
  <si>
    <t>Och-CBur_054</t>
  </si>
  <si>
    <t>Och-CBur_066</t>
  </si>
  <si>
    <t>Och-CBur_078</t>
  </si>
  <si>
    <t>Och-CBur_031</t>
  </si>
  <si>
    <t>Och-CBur_043</t>
  </si>
  <si>
    <t>Och-CBur_055</t>
  </si>
  <si>
    <t>Och-CBur_067</t>
  </si>
  <si>
    <t>Och-CBur_079</t>
  </si>
  <si>
    <t>Och-CBur_032</t>
  </si>
  <si>
    <t>Och-CBur_044</t>
  </si>
  <si>
    <t>Och-CBur_056</t>
  </si>
  <si>
    <t>Och-CBur_080</t>
  </si>
  <si>
    <t>Och-CBur_021</t>
  </si>
  <si>
    <t>Och-CBur_045</t>
  </si>
  <si>
    <t>Och-CBur_057</t>
  </si>
  <si>
    <t>Och-CBur_069</t>
  </si>
  <si>
    <t>Och-CBur_022</t>
  </si>
  <si>
    <t>Och-CBur_034</t>
  </si>
  <si>
    <t>Och-CBur_058</t>
  </si>
  <si>
    <t>Och-CBur_070</t>
  </si>
  <si>
    <t>Och-CBur_082</t>
  </si>
  <si>
    <t>Och-CBur_023</t>
  </si>
  <si>
    <t>Och-CBur_035</t>
  </si>
  <si>
    <t>Och-CBur_047</t>
  </si>
  <si>
    <t>Och-CBur_059</t>
  </si>
  <si>
    <t>Och-CBur_071</t>
  </si>
  <si>
    <t>Och-CBur_083</t>
  </si>
  <si>
    <t>Och-CBur_024</t>
  </si>
  <si>
    <t>Och-CBur_060</t>
  </si>
  <si>
    <t>Och-CBur_072</t>
  </si>
  <si>
    <t>Och-CBur_084</t>
  </si>
  <si>
    <t>Och-C_001_E1</t>
  </si>
  <si>
    <t>Och-CBur_LCWGS-libraries</t>
  </si>
  <si>
    <t>Och-A-2</t>
  </si>
  <si>
    <t>Och-C-2</t>
  </si>
  <si>
    <t>Och-TL2-DilutionPlate</t>
  </si>
  <si>
    <t>Test Lane 2</t>
  </si>
  <si>
    <t>OcA05001</t>
  </si>
  <si>
    <t>OcA05002</t>
  </si>
  <si>
    <t>OcA05003</t>
  </si>
  <si>
    <t>OcA05004</t>
  </si>
  <si>
    <t>OcA05005</t>
  </si>
  <si>
    <t>OcA05006</t>
  </si>
  <si>
    <t>OcA05007</t>
  </si>
  <si>
    <t>OcA05008</t>
  </si>
  <si>
    <t>OcA05009</t>
  </si>
  <si>
    <t>OcA05010</t>
  </si>
  <si>
    <t>OcA05011</t>
  </si>
  <si>
    <t>OcA05012</t>
  </si>
  <si>
    <t>OcA05013</t>
  </si>
  <si>
    <t>OcA05014</t>
  </si>
  <si>
    <t>OcA05016</t>
  </si>
  <si>
    <t>OcA05017</t>
  </si>
  <si>
    <t>OcA05018</t>
  </si>
  <si>
    <t>OcA05019</t>
  </si>
  <si>
    <t>OcA05020</t>
  </si>
  <si>
    <t>OcA05021</t>
  </si>
  <si>
    <t>OcA05022</t>
  </si>
  <si>
    <t>OcA05023</t>
  </si>
  <si>
    <t>OcA05015</t>
  </si>
  <si>
    <t>OcA05024</t>
  </si>
  <si>
    <t>iTru7_103_01</t>
  </si>
  <si>
    <t>CAGCGATT</t>
  </si>
  <si>
    <t>iTru7_103_02</t>
  </si>
  <si>
    <t>TAGTGACC</t>
  </si>
  <si>
    <t>iTru7_103_03</t>
  </si>
  <si>
    <t>CGAGACTA</t>
  </si>
  <si>
    <t>iTru7_103_04</t>
  </si>
  <si>
    <t>GACATGGT</t>
  </si>
  <si>
    <t>iTru7_103_05</t>
  </si>
  <si>
    <t>GCATGTCT</t>
  </si>
  <si>
    <t>iTru7_103_06</t>
  </si>
  <si>
    <t>ACTCCATC</t>
  </si>
  <si>
    <t>iTru7_103_07</t>
  </si>
  <si>
    <t>TGTGACTG</t>
  </si>
  <si>
    <t>iTru7_103_08</t>
  </si>
  <si>
    <t>CGAAGAAC</t>
  </si>
  <si>
    <t>iTru7_103_09</t>
  </si>
  <si>
    <t>GGTGTCTT</t>
  </si>
  <si>
    <t>iTru7_103_10</t>
  </si>
  <si>
    <t>AAGAAGGC</t>
  </si>
  <si>
    <t>iTru7_103_11</t>
  </si>
  <si>
    <t>AGGTTCGA</t>
  </si>
  <si>
    <t>iTru7_103_12</t>
  </si>
  <si>
    <t>CATGTTCC</t>
  </si>
  <si>
    <t>OcC01013</t>
  </si>
  <si>
    <t>OcC01025</t>
  </si>
  <si>
    <t>OcC01037</t>
  </si>
  <si>
    <t>OcC01049</t>
  </si>
  <si>
    <t>OcC01061</t>
  </si>
  <si>
    <t>OcC01073</t>
  </si>
  <si>
    <t>OcC01014</t>
  </si>
  <si>
    <t>OcC01026</t>
  </si>
  <si>
    <t>OcC01038</t>
  </si>
  <si>
    <t>OcC01062</t>
  </si>
  <si>
    <t>OcC01074</t>
  </si>
  <si>
    <t>OcC01086</t>
  </si>
  <si>
    <t>OcC01015</t>
  </si>
  <si>
    <t>OcC01051</t>
  </si>
  <si>
    <t>OcC01063</t>
  </si>
  <si>
    <t>OcC01087</t>
  </si>
  <si>
    <t>OcC01016</t>
  </si>
  <si>
    <t>OcC01028</t>
  </si>
  <si>
    <t>OcC01040</t>
  </si>
  <si>
    <t>OcC01052</t>
  </si>
  <si>
    <t>OcC01064</t>
  </si>
  <si>
    <t>OcC01076</t>
  </si>
  <si>
    <t>OcC01088</t>
  </si>
  <si>
    <t>OcC01017</t>
  </si>
  <si>
    <t>OcC01029</t>
  </si>
  <si>
    <t>OcC01041</t>
  </si>
  <si>
    <t>OcC01053</t>
  </si>
  <si>
    <t>OcC01065</t>
  </si>
  <si>
    <t>OcC01077</t>
  </si>
  <si>
    <t>OcC01089</t>
  </si>
  <si>
    <t>OcC01018</t>
  </si>
  <si>
    <t>OcC01030</t>
  </si>
  <si>
    <t>OcC01042</t>
  </si>
  <si>
    <t>OcC01054</t>
  </si>
  <si>
    <t>OcC01066</t>
  </si>
  <si>
    <t>OcC01078</t>
  </si>
  <si>
    <t>OcC01031</t>
  </si>
  <si>
    <t>OcC01043</t>
  </si>
  <si>
    <t>OcC01055</t>
  </si>
  <si>
    <t>OcC01067</t>
  </si>
  <si>
    <t>OcC01079</t>
  </si>
  <si>
    <t>OcC01032</t>
  </si>
  <si>
    <t>OcC01044</t>
  </si>
  <si>
    <t>OcC01056</t>
  </si>
  <si>
    <t>OcC01080</t>
  </si>
  <si>
    <t>OcC01021</t>
  </si>
  <si>
    <t>OcC01045</t>
  </si>
  <si>
    <t>OcC01057</t>
  </si>
  <si>
    <t>OcC01069</t>
  </si>
  <si>
    <t>OcC01022</t>
  </si>
  <si>
    <t>OcC01034</t>
  </si>
  <si>
    <t>OcC01058</t>
  </si>
  <si>
    <t>OcC01070</t>
  </si>
  <si>
    <t>OcC01082</t>
  </si>
  <si>
    <t>OcC01023</t>
  </si>
  <si>
    <t>OcC01035</t>
  </si>
  <si>
    <t>OcC01047</t>
  </si>
  <si>
    <t>OcC01059</t>
  </si>
  <si>
    <t>OcC01071</t>
  </si>
  <si>
    <t>OcC01083</t>
  </si>
  <si>
    <t>OcC01024</t>
  </si>
  <si>
    <t>OcC01060</t>
  </si>
  <si>
    <t>OcC01072</t>
  </si>
  <si>
    <t>OcC01084</t>
  </si>
  <si>
    <t>OcA0500101A</t>
  </si>
  <si>
    <t>Och-ACan_001-Ex1-1A-lcwgs-1-1</t>
  </si>
  <si>
    <t>OcA0500202A</t>
  </si>
  <si>
    <t>Och-ACan_002-Ex1-2A-lcwgs-1-1</t>
  </si>
  <si>
    <t>OcA0500303A</t>
  </si>
  <si>
    <t>Och-ACan_003-Ex1-3A-lcwgs-1-1</t>
  </si>
  <si>
    <t>OcA0500404A</t>
  </si>
  <si>
    <t>Och-ACan_004-Ex1-4A-lcwgs-1-1</t>
  </si>
  <si>
    <t>OcA0500505A</t>
  </si>
  <si>
    <t>Och-ACan_005-Ex1-5A-lcwgs-1-1</t>
  </si>
  <si>
    <t>OcA0500606A</t>
  </si>
  <si>
    <t>Och-ACan_006-Ex1-6A-lcwgs-1-1</t>
  </si>
  <si>
    <t>OcA0500707A</t>
  </si>
  <si>
    <t>Och-ACan_007-Ex1-7A-lcwgs-1-1</t>
  </si>
  <si>
    <t>OcA0500808A</t>
  </si>
  <si>
    <t>Och-ACan_008-Ex1-8A-lcwgs-1-1</t>
  </si>
  <si>
    <t>OcA0500909A</t>
  </si>
  <si>
    <t>Och-ACan_009-Ex1-9A-lcwgs-1-1</t>
  </si>
  <si>
    <t>OcA0501010A</t>
  </si>
  <si>
    <t>Och-ACan_010-Ex1-10A-lcwgs-1-1</t>
  </si>
  <si>
    <t>OcA0501111A</t>
  </si>
  <si>
    <t>Och-ACan_011-Ex1-11A-lcwgs-1-1</t>
  </si>
  <si>
    <t>OcA0501212A</t>
  </si>
  <si>
    <t>Och-ACan_012-Ex1-12A-lcwgs-1-1</t>
  </si>
  <si>
    <t>OcA0501301B</t>
  </si>
  <si>
    <t>Och-ACan_013-Ex1-1B-lcwgs-1-1</t>
  </si>
  <si>
    <t>OcA0501402B</t>
  </si>
  <si>
    <t>Och-ACan_014-Ex1-2B-lcwgs-1-1</t>
  </si>
  <si>
    <t>OcA0501503B</t>
  </si>
  <si>
    <t>Och-ACan_015-Ex1-3B-lcwgs-1-1</t>
  </si>
  <si>
    <t>OcA0501604B</t>
  </si>
  <si>
    <t>Och-ACan_016-Ex1-4B-lcwgs-1-1</t>
  </si>
  <si>
    <t>OcA0501705B</t>
  </si>
  <si>
    <t>Och-ACan_017-Ex1-5B-lcwgs-1-1</t>
  </si>
  <si>
    <t>OcA0501806B</t>
  </si>
  <si>
    <t>Och-ACan_018-Ex1-6B-lcwgs-1-1</t>
  </si>
  <si>
    <t>OcA0501907B</t>
  </si>
  <si>
    <t>Och-ACan_019-Ex1-7B-lcwgs-1-1</t>
  </si>
  <si>
    <t>OcA0502008B</t>
  </si>
  <si>
    <t>Och-ACan_020-Ex1-8B-lcwgs-1-1</t>
  </si>
  <si>
    <t>OcA0502109B</t>
  </si>
  <si>
    <t>Och-ACan_021-Ex1-9B-lcwgs-1-1</t>
  </si>
  <si>
    <t>OcA0502210B</t>
  </si>
  <si>
    <t>Och-ACan_022-Ex1-10B-lcwgs-1-1</t>
  </si>
  <si>
    <t>OcA0502311B</t>
  </si>
  <si>
    <t>Och-ACan_023-Ex1-11B-lcwgs-1-1</t>
  </si>
  <si>
    <t>OcA0502412B</t>
  </si>
  <si>
    <t>Och-ACan_024-Ex1-12B-lcwgs-1-1</t>
  </si>
  <si>
    <t>OcC0101301A</t>
  </si>
  <si>
    <t>Och-CBur_013_Ex1-1A-lcwgs-1-1</t>
  </si>
  <si>
    <t>OcC0102501B</t>
  </si>
  <si>
    <t>Och-CBur_025_Ex1-1B-lcwgs-1-1</t>
  </si>
  <si>
    <t>OcC0103701C</t>
  </si>
  <si>
    <t>Och-CBur_037_Ex1-1C-lcwgs-1-1</t>
  </si>
  <si>
    <t>OcC0104901D</t>
  </si>
  <si>
    <t>Och-CBur_049_Ex1-1D-lcwgs-1-1</t>
  </si>
  <si>
    <t>OcC0106101E</t>
  </si>
  <si>
    <t>Och-CBur_061_Ex1-1E-lcwgs-1-1</t>
  </si>
  <si>
    <t>OcC0107301F</t>
  </si>
  <si>
    <t>Och-CBur_073_Ex1-1F-lcwgs-1-1</t>
  </si>
  <si>
    <t>OcC0101401G</t>
  </si>
  <si>
    <t>Och-CBur_014_Ex1-1G-lcwgs-1-1</t>
  </si>
  <si>
    <t>OcC0102601H</t>
  </si>
  <si>
    <t>Och-CBur_026_Ex1-1H-lcwgs-1-1</t>
  </si>
  <si>
    <t>OcC0103802A</t>
  </si>
  <si>
    <t>Och-CBur_038_Ex1-2A-lcwgs-1-1</t>
  </si>
  <si>
    <t>OcC0106202B</t>
  </si>
  <si>
    <t>Och-CBur_062_Ex1-2B-lcwgs-1-1</t>
  </si>
  <si>
    <t>OcC0107402C</t>
  </si>
  <si>
    <t>Och-CBur_074_Ex1-2C-lcwgs-1-1</t>
  </si>
  <si>
    <t>OcC0108602D</t>
  </si>
  <si>
    <t>Och-CBur_086_Ex1-2D-lcwgs-1-1</t>
  </si>
  <si>
    <t>OcC0101502E</t>
  </si>
  <si>
    <t>Och-CBur_015_Ex1-2E-lcwgs-1-1</t>
  </si>
  <si>
    <t>OcC0105102F</t>
  </si>
  <si>
    <t>Och-CBur_051_Ex1-2F-lcwgs-1-1</t>
  </si>
  <si>
    <t>OcC0106302G</t>
  </si>
  <si>
    <t>Och-CBur_063_Ex1-2G-lcwgs-1-1</t>
  </si>
  <si>
    <t>OcC0108702H</t>
  </si>
  <si>
    <t>Och-CBur_087_Ex1-2H-lcwgs-1-1</t>
  </si>
  <si>
    <t>OcC0101603A</t>
  </si>
  <si>
    <t>Och-CBur_016_Ex1-3A-lcwgs-1-1</t>
  </si>
  <si>
    <t>OcC0102803B</t>
  </si>
  <si>
    <t>Och-CBur_028_Ex1-3B-lcwgs-1-1</t>
  </si>
  <si>
    <t>OcC0104003C</t>
  </si>
  <si>
    <t>Och-CBur_040_Ex1-3C-lcwgs-1-1</t>
  </si>
  <si>
    <t>OcC0105203D</t>
  </si>
  <si>
    <t>Och-CBur_052_Ex1-3D-lcwgs-1-1</t>
  </si>
  <si>
    <t>OcC0106403E</t>
  </si>
  <si>
    <t>Och-CBur_064_Ex1-3E-lcwgs-1-1</t>
  </si>
  <si>
    <t>OcC0107603F</t>
  </si>
  <si>
    <t>Och-CBur_076_Ex1-3F-lcwgs-1-1</t>
  </si>
  <si>
    <t>OcC0108803G</t>
  </si>
  <si>
    <t>Och-CBur_088_Ex1-3G-lcwgs-1-1</t>
  </si>
  <si>
    <t>OcC0101703H</t>
  </si>
  <si>
    <t>Och-CBur_017_Ex1-3H-lcwgs-1-1</t>
  </si>
  <si>
    <t>OcC0102904A</t>
  </si>
  <si>
    <t>Och-CBur_029_Ex1-4A-lcwgs-1-1</t>
  </si>
  <si>
    <t>OcC0104104B</t>
  </si>
  <si>
    <t>Och-CBur_041_Ex1-4B-lcwgs-1-1</t>
  </si>
  <si>
    <t>OcC0105304C</t>
  </si>
  <si>
    <t>Och-CBur_053_Ex1-4C-lcwgs-1-1</t>
  </si>
  <si>
    <t>OcC0106504D</t>
  </si>
  <si>
    <t>Och-CBur_065_Ex1-4D-lcwgs-1-1</t>
  </si>
  <si>
    <t>OcC0107704E</t>
  </si>
  <si>
    <t>Och-CBur_077_Ex1-4E-lcwgs-1-1</t>
  </si>
  <si>
    <t>OcC0108904F</t>
  </si>
  <si>
    <t>Och-CBur_089_Ex1-4F-lcwgs-1-1</t>
  </si>
  <si>
    <t>OcC0101804G</t>
  </si>
  <si>
    <t>Och-CBur_018_Ex1-4G-lcwgs-1-1</t>
  </si>
  <si>
    <t>OcC0103004H</t>
  </si>
  <si>
    <t>Och-CBur_030_Ex1-4H-lcwgs-1-1</t>
  </si>
  <si>
    <t>OcC0104205A</t>
  </si>
  <si>
    <t>Och-CBur_042_Ex1-5A-lcwgs-1-1</t>
  </si>
  <si>
    <t>OcC0105405B</t>
  </si>
  <si>
    <t>Och-CBur_054_Ex1-5B-lcwgs-1-1</t>
  </si>
  <si>
    <t>OcC0106605C</t>
  </si>
  <si>
    <t>Och-CBur_066_Ex1-5C-lcwgs-1-1</t>
  </si>
  <si>
    <t>OcC0107805D</t>
  </si>
  <si>
    <t>Och-CBur_078_Ex1-5D-lcwgs-1-1</t>
  </si>
  <si>
    <t>OcC0103105E</t>
  </si>
  <si>
    <t>Och-CBur_031_Ex1-5E-lcwgs-1-1</t>
  </si>
  <si>
    <t>OcC0104305F</t>
  </si>
  <si>
    <t>Och-CBur_043_Ex1-5F-lcwgs-1-1</t>
  </si>
  <si>
    <t>OcC0105505G</t>
  </si>
  <si>
    <t>Och-CBur_055_Ex1-5G-lcwgs-1-1</t>
  </si>
  <si>
    <t>OcC0106705H</t>
  </si>
  <si>
    <t>Och-CBur_067_Ex1-5H-lcwgs-1-1</t>
  </si>
  <si>
    <t>OcC0107906A</t>
  </si>
  <si>
    <t>Och-CBur_079_Ex1-6A-lcwgs-1-1</t>
  </si>
  <si>
    <t>OcC0103206B</t>
  </si>
  <si>
    <t>Och-CBur_032_Ex1-6B-lcwgs-1-1</t>
  </si>
  <si>
    <t>OcC0104406C</t>
  </si>
  <si>
    <t>Och-CBur_044_Ex1-6C-lcwgs-1-1</t>
  </si>
  <si>
    <t>OcC0105606D</t>
  </si>
  <si>
    <t>Och-CBur_056_Ex1-6D-lcwgs-1-1</t>
  </si>
  <si>
    <t>OcC0108006E</t>
  </si>
  <si>
    <t>Och-CBur_080_Ex1-6E-lcwgs-1-1</t>
  </si>
  <si>
    <t>OcC0102106F</t>
  </si>
  <si>
    <t>Och-CBur_021_Ex1-6F-lcwgs-1-1</t>
  </si>
  <si>
    <t>OcC0104506G</t>
  </si>
  <si>
    <t>Och-CBur_045_Ex1-6G-lcwgs-1-1</t>
  </si>
  <si>
    <t>OcC0105706H</t>
  </si>
  <si>
    <t>Och-CBur_057_Ex1-6H-lcwgs-1-1</t>
  </si>
  <si>
    <t>OcC0106907A</t>
  </si>
  <si>
    <t>Och-CBur_069_Ex1-7A-lcwgs-1-1</t>
  </si>
  <si>
    <t>OcC0102207B</t>
  </si>
  <si>
    <t>Och-CBur_022_Ex1-7B-lcwgs-1-1</t>
  </si>
  <si>
    <t>OcC0103407C</t>
  </si>
  <si>
    <t>Och-CBur_034_Ex1-7C-lcwgs-1-1</t>
  </si>
  <si>
    <t>OcC0105807D</t>
  </si>
  <si>
    <t>Och-CBur_058_Ex1-7D-lcwgs-1-1</t>
  </si>
  <si>
    <t>OcC0107007E</t>
  </si>
  <si>
    <t>Och-CBur_070_Ex1-7E-lcwgs-1-1</t>
  </si>
  <si>
    <t>OcC0108207F</t>
  </si>
  <si>
    <t>Och-CBur_082_Ex1-7F-lcwgs-1-1</t>
  </si>
  <si>
    <t>OcC0102307G</t>
  </si>
  <si>
    <t>Och-CBur_023_Ex1-7G-lcwgs-1-1</t>
  </si>
  <si>
    <t>OcC0103507H</t>
  </si>
  <si>
    <t>Och-CBur_035_Ex1-7H-lcwgs-1-1</t>
  </si>
  <si>
    <t>OcC0104708A</t>
  </si>
  <si>
    <t>Och-CBur_047_Ex1-8A-lcwgs-1-1</t>
  </si>
  <si>
    <t>OcC0105908B</t>
  </si>
  <si>
    <t>Och-CBur_059_Ex1-8B-lcwgs-1-1</t>
  </si>
  <si>
    <t>OcC0107108C</t>
  </si>
  <si>
    <t>Och-CBur_071_Ex1-8C-lcwgs-1-1</t>
  </si>
  <si>
    <t>OcC0108308D</t>
  </si>
  <si>
    <t>Och-CBur_083_Ex1-8D-lcwgs-1-1</t>
  </si>
  <si>
    <t>OcC0102408E</t>
  </si>
  <si>
    <t>Och-CBur_024_Ex1-8E-lcwgs-1-1</t>
  </si>
  <si>
    <t>OcC0106008F</t>
  </si>
  <si>
    <t>Och-CBur_060_Ex1-8F-lcwgs-1-1</t>
  </si>
  <si>
    <t>OcC0107208G</t>
  </si>
  <si>
    <t>Och-CBur_072_Ex1-8G-lcwgs-1-1</t>
  </si>
  <si>
    <t>OcC0108408H</t>
  </si>
  <si>
    <t>Och-CBur_084_Ex1-8H-lcwgs-1-1</t>
  </si>
  <si>
    <t>Och-CBur-full</t>
  </si>
  <si>
    <t>Och-ACan-full</t>
  </si>
  <si>
    <t>Full seq Name</t>
  </si>
  <si>
    <t>OchACat001</t>
  </si>
  <si>
    <t>OchATum001</t>
  </si>
  <si>
    <t>OchACat002</t>
  </si>
  <si>
    <t>OchATum002</t>
  </si>
  <si>
    <t>OchACat003</t>
  </si>
  <si>
    <t>OchATum003</t>
  </si>
  <si>
    <t>OchACat004</t>
  </si>
  <si>
    <t>OchATum004</t>
  </si>
  <si>
    <t>OchACat005</t>
  </si>
  <si>
    <t>OchATum005</t>
  </si>
  <si>
    <t>OchACat006</t>
  </si>
  <si>
    <t>OchATum006</t>
  </si>
  <si>
    <t>OchACat007</t>
  </si>
  <si>
    <t>OchATum007</t>
  </si>
  <si>
    <t>OchACat008</t>
  </si>
  <si>
    <t>OchATum008</t>
  </si>
  <si>
    <t>OchACat009</t>
  </si>
  <si>
    <t>OchATum009</t>
  </si>
  <si>
    <t>OchACat010</t>
  </si>
  <si>
    <t>OchATum010</t>
  </si>
  <si>
    <t>OchACat011</t>
  </si>
  <si>
    <t>OchATum011</t>
  </si>
  <si>
    <t>OchACat012</t>
  </si>
  <si>
    <t>OchATum012</t>
  </si>
  <si>
    <t>OchACat013</t>
  </si>
  <si>
    <t>OchATum013</t>
  </si>
  <si>
    <t>OchACat014</t>
  </si>
  <si>
    <t>OchATum014</t>
  </si>
  <si>
    <t>OchACat015</t>
  </si>
  <si>
    <t>OchATum015</t>
  </si>
  <si>
    <t>OchACat016</t>
  </si>
  <si>
    <t>OchATum016</t>
  </si>
  <si>
    <t>OchACat017</t>
  </si>
  <si>
    <t>OchATum017</t>
  </si>
  <si>
    <t>OchACat018</t>
  </si>
  <si>
    <t>OchATum018</t>
  </si>
  <si>
    <t>OchACat019</t>
  </si>
  <si>
    <t>OchATum019</t>
  </si>
  <si>
    <t>OchACat020</t>
  </si>
  <si>
    <t>OchATum020</t>
  </si>
  <si>
    <t>OchACat021</t>
  </si>
  <si>
    <t>OchATum021</t>
  </si>
  <si>
    <t>OchACat022</t>
  </si>
  <si>
    <t>OchATum022</t>
  </si>
  <si>
    <t>OchACat023</t>
  </si>
  <si>
    <t>OchATum023</t>
  </si>
  <si>
    <t>OchACat024</t>
  </si>
  <si>
    <t>OchATum024</t>
  </si>
  <si>
    <t>OchACat025</t>
  </si>
  <si>
    <t>OchATum025</t>
  </si>
  <si>
    <t>OchACat026</t>
  </si>
  <si>
    <t>OchATum026</t>
  </si>
  <si>
    <t>OchACat027</t>
  </si>
  <si>
    <t>OchATum027</t>
  </si>
  <si>
    <t>OchACat028</t>
  </si>
  <si>
    <t>OchATum028</t>
  </si>
  <si>
    <t>OchACat029</t>
  </si>
  <si>
    <t>OchATum029</t>
  </si>
  <si>
    <t>OchACat030</t>
  </si>
  <si>
    <t>OchATum030</t>
  </si>
  <si>
    <t>OchACat031</t>
  </si>
  <si>
    <t>OchATum031</t>
  </si>
  <si>
    <t>OchACat032</t>
  </si>
  <si>
    <t>OchATum032</t>
  </si>
  <si>
    <t>OchACat033</t>
  </si>
  <si>
    <t>OchATum033</t>
  </si>
  <si>
    <t>OchACat034</t>
  </si>
  <si>
    <t>OchATum034</t>
  </si>
  <si>
    <t>OchACat035</t>
  </si>
  <si>
    <t>OchATum035</t>
  </si>
  <si>
    <t>OchACat036</t>
  </si>
  <si>
    <t>OchATum036</t>
  </si>
  <si>
    <t>OchACat037</t>
  </si>
  <si>
    <t>OchACat038</t>
  </si>
  <si>
    <t>OchACat040</t>
  </si>
  <si>
    <t>OchACat041</t>
  </si>
  <si>
    <t>OchACan001</t>
  </si>
  <si>
    <t>OchACan002</t>
  </si>
  <si>
    <t>OchACan003</t>
  </si>
  <si>
    <t>OchACan004</t>
  </si>
  <si>
    <t>OchACan005</t>
  </si>
  <si>
    <t>OchACan006</t>
  </si>
  <si>
    <t>OchACan007</t>
  </si>
  <si>
    <t>OchACan008</t>
  </si>
  <si>
    <t>OchACan009</t>
  </si>
  <si>
    <t>OchACan010</t>
  </si>
  <si>
    <t>OchACan011</t>
  </si>
  <si>
    <t>OchACan012</t>
  </si>
  <si>
    <t>OchACan013</t>
  </si>
  <si>
    <t>OchACan014</t>
  </si>
  <si>
    <t>OchACan015</t>
  </si>
  <si>
    <t>OchACan016</t>
  </si>
  <si>
    <t>OchACan017</t>
  </si>
  <si>
    <t>OchACan018</t>
  </si>
  <si>
    <t>OchACan019</t>
  </si>
  <si>
    <t>OchACan020</t>
  </si>
  <si>
    <t>OchACan021</t>
  </si>
  <si>
    <t>OchACan022</t>
  </si>
  <si>
    <t>OchACan023</t>
  </si>
  <si>
    <t>OchACan024</t>
  </si>
  <si>
    <t>OchCBur013</t>
  </si>
  <si>
    <t>OchCBur015</t>
  </si>
  <si>
    <t>OchCBur016</t>
  </si>
  <si>
    <t>OchCBur017</t>
  </si>
  <si>
    <t>OchCBur018</t>
  </si>
  <si>
    <t>OchCBur021</t>
  </si>
  <si>
    <t>OchCBur022</t>
  </si>
  <si>
    <t>OchCBur023</t>
  </si>
  <si>
    <t>OchCBur025</t>
  </si>
  <si>
    <t>OchCBur028</t>
  </si>
  <si>
    <t>OchCBur029</t>
  </si>
  <si>
    <t>OchCBur030</t>
  </si>
  <si>
    <t>OchCBur032</t>
  </si>
  <si>
    <t>OchCBur035</t>
  </si>
  <si>
    <t>OchCBur037</t>
  </si>
  <si>
    <t>OchCBur038</t>
  </si>
  <si>
    <t>OchCBur040</t>
  </si>
  <si>
    <t>OchCBur041</t>
  </si>
  <si>
    <t>OchCBur045</t>
  </si>
  <si>
    <t>OchCBur047</t>
  </si>
  <si>
    <t>OchCBur049</t>
  </si>
  <si>
    <t>OchCBur051</t>
  </si>
  <si>
    <t>OchCBur052</t>
  </si>
  <si>
    <t>OchCBur055</t>
  </si>
  <si>
    <t>OchCBur056</t>
  </si>
  <si>
    <t>OchCBur057</t>
  </si>
  <si>
    <t>OchCBur058</t>
  </si>
  <si>
    <t>OchCBur059</t>
  </si>
  <si>
    <t>OchCBur060</t>
  </si>
  <si>
    <t>OchCBur061</t>
  </si>
  <si>
    <t>OchCBur062</t>
  </si>
  <si>
    <t>OchCBur063</t>
  </si>
  <si>
    <t>OchCBur064</t>
  </si>
  <si>
    <t>OchCBur065</t>
  </si>
  <si>
    <t>OchCBur069</t>
  </si>
  <si>
    <t>OchCBur070</t>
  </si>
  <si>
    <t>OchCBur072</t>
  </si>
  <si>
    <t>OchCBur073</t>
  </si>
  <si>
    <t>OchCBur074</t>
  </si>
  <si>
    <t>OchCBur076</t>
  </si>
  <si>
    <t>OchCBur079</t>
  </si>
  <si>
    <t>OchCBur080</t>
  </si>
  <si>
    <t>OchCBur082</t>
  </si>
  <si>
    <t>OchCBur084</t>
  </si>
  <si>
    <t>OchCBur086</t>
  </si>
  <si>
    <t>OchCBur087</t>
  </si>
  <si>
    <t>OchCBur088</t>
  </si>
  <si>
    <t>OchCBur089</t>
  </si>
  <si>
    <t>OchCCat001</t>
  </si>
  <si>
    <t>OchCCat002</t>
  </si>
  <si>
    <t>OchCCat003</t>
  </si>
  <si>
    <t>OchCCat004</t>
  </si>
  <si>
    <t>OchCCat005</t>
  </si>
  <si>
    <t>OchCCat006</t>
  </si>
  <si>
    <t>OchCCat007</t>
  </si>
  <si>
    <t>OchCCat008</t>
  </si>
  <si>
    <t>OchCCat009</t>
  </si>
  <si>
    <t>OchCCat010</t>
  </si>
  <si>
    <t>OchCCat011</t>
  </si>
  <si>
    <t>OchCCat013</t>
  </si>
  <si>
    <t>OchCCat014</t>
  </si>
  <si>
    <t>OchCCat017</t>
  </si>
  <si>
    <t>OchCCat019</t>
  </si>
  <si>
    <t>OchCCat020</t>
  </si>
  <si>
    <t>OchCCat021</t>
  </si>
  <si>
    <t>OchCCat023</t>
  </si>
  <si>
    <t>OchCCat024</t>
  </si>
  <si>
    <t>OchCCat025</t>
  </si>
  <si>
    <t>OchCCat028</t>
  </si>
  <si>
    <t>OchCCat029</t>
  </si>
  <si>
    <t>OchCCat031</t>
  </si>
  <si>
    <t>OchCCat035</t>
  </si>
  <si>
    <t>OchCCat036</t>
  </si>
  <si>
    <t>OchCCat037</t>
  </si>
  <si>
    <t>OchCCat038</t>
  </si>
  <si>
    <t>OchCCat047</t>
  </si>
  <si>
    <t>OchCCat051</t>
  </si>
  <si>
    <t>OchCCat059</t>
  </si>
  <si>
    <t>OchCCat063</t>
  </si>
  <si>
    <t>OchCCat065</t>
  </si>
  <si>
    <t>OchCCat066</t>
  </si>
  <si>
    <t>OchCCat069</t>
  </si>
  <si>
    <t>OchCCat072</t>
  </si>
  <si>
    <t>OchCCat074</t>
  </si>
  <si>
    <t>OchCCat075</t>
  </si>
  <si>
    <t>OchCCat077</t>
  </si>
  <si>
    <t>OchCCat079</t>
  </si>
  <si>
    <t>OchCCat082</t>
  </si>
  <si>
    <t>OchCCat083</t>
  </si>
  <si>
    <t>OchCCat084</t>
  </si>
  <si>
    <t>OchCCat085</t>
  </si>
  <si>
    <t>OchCCat090</t>
  </si>
  <si>
    <t>OchCCat092</t>
  </si>
  <si>
    <t>OchCCat094</t>
  </si>
  <si>
    <t>OchCCat095</t>
  </si>
  <si>
    <t>OchCCat096</t>
  </si>
  <si>
    <t>OchCTum001</t>
  </si>
  <si>
    <t>OchCTum002</t>
  </si>
  <si>
    <t>OchCTum003</t>
  </si>
  <si>
    <t>OchCTum004</t>
  </si>
  <si>
    <t>OchCTum005</t>
  </si>
  <si>
    <t>OchCTum006</t>
  </si>
  <si>
    <t>OchCTum007</t>
  </si>
  <si>
    <t>OchCTum008</t>
  </si>
  <si>
    <t>OchCTum009</t>
  </si>
  <si>
    <t>OchCTum010</t>
  </si>
  <si>
    <t>OchCTum011</t>
  </si>
  <si>
    <t>OchCTum012</t>
  </si>
  <si>
    <t>OchCTum013</t>
  </si>
  <si>
    <t>OchCTum014</t>
  </si>
  <si>
    <t>OchCTum015</t>
  </si>
  <si>
    <t>OchCTum016</t>
  </si>
  <si>
    <t>OchCTum017</t>
  </si>
  <si>
    <t>OchCTum018</t>
  </si>
  <si>
    <t>OchCTum019</t>
  </si>
  <si>
    <t>OchCTum020</t>
  </si>
  <si>
    <t>OchCTum021</t>
  </si>
  <si>
    <t>OchCTum022</t>
  </si>
  <si>
    <t>OchCTum023</t>
  </si>
  <si>
    <t>OchCTum024</t>
  </si>
  <si>
    <t>OchCTum025</t>
  </si>
  <si>
    <t>OchCTum026</t>
  </si>
  <si>
    <t>OchCTum027</t>
  </si>
  <si>
    <t>OchCTum028</t>
  </si>
  <si>
    <t>OchCTum029</t>
  </si>
  <si>
    <t>OchCTum030</t>
  </si>
  <si>
    <t>OchCTum031</t>
  </si>
  <si>
    <t>OchCTum032</t>
  </si>
  <si>
    <t>OchCTum033</t>
  </si>
  <si>
    <t>OchCTum034</t>
  </si>
  <si>
    <t>OchCTum035</t>
  </si>
  <si>
    <t>OchCTum036</t>
  </si>
  <si>
    <t>OchCTum037</t>
  </si>
  <si>
    <t>OchCTum038</t>
  </si>
  <si>
    <t>OchCTum039</t>
  </si>
  <si>
    <t>OchCTum040</t>
  </si>
  <si>
    <t>OchCTum041</t>
  </si>
  <si>
    <t>OchCTum042</t>
  </si>
  <si>
    <t>OchCTum043</t>
  </si>
  <si>
    <t>OchCTum044</t>
  </si>
  <si>
    <t>OchCTum045</t>
  </si>
  <si>
    <t>OchCTum047</t>
  </si>
  <si>
    <t>OchCTum048</t>
  </si>
  <si>
    <t>OchCTum049</t>
  </si>
  <si>
    <t>OchACat039_1</t>
  </si>
  <si>
    <t>OchACat039_2</t>
  </si>
  <si>
    <t>Full seq decode</t>
  </si>
  <si>
    <t>Och-ACan_001-Ex1-1A-lcwgs-1-2</t>
  </si>
  <si>
    <t>Och-ACan_002-Ex1-2A-lcwgs-1-2</t>
  </si>
  <si>
    <t>Och-ACan_003-Ex1-3A-lcwgs-1-2</t>
  </si>
  <si>
    <t>Och-ACan_004-Ex1-4A-lcwgs-1-2</t>
  </si>
  <si>
    <t>Och-ACan_005-Ex1-5A-lcwgs-1-2</t>
  </si>
  <si>
    <t>Och-ACan_006-Ex1-6A-lcwgs-1-2</t>
  </si>
  <si>
    <t>Och-ACan_007-Ex1-7A-lcwgs-1-2</t>
  </si>
  <si>
    <t>Och-ACan_008-Ex1-8A-lcwgs-1-2</t>
  </si>
  <si>
    <t>Och-ACan_009-Ex1-9A-lcwgs-1-2</t>
  </si>
  <si>
    <t>Och-ACan_010-Ex1-10A-lcwgs-1-2</t>
  </si>
  <si>
    <t>Och-ACan_011-Ex1-11A-lcwgs-1-2</t>
  </si>
  <si>
    <t>Och-ACan_012-Ex1-12A-lcwgs-1-2</t>
  </si>
  <si>
    <t>Och-ACan_013-Ex1-1B-lcwgs-1-2</t>
  </si>
  <si>
    <t>Och-ACan_014-Ex1-2B-lcwgs-1-2</t>
  </si>
  <si>
    <t>Och-ACan_015-Ex1-3B-lcwgs-1-2</t>
  </si>
  <si>
    <t>Och-ACan_016-Ex1-4B-lcwgs-1-2</t>
  </si>
  <si>
    <t>Och-ACan_017-Ex1-5B-lcwgs-1-2</t>
  </si>
  <si>
    <t>Och-ACan_018-Ex1-6B-lcwgs-1-2</t>
  </si>
  <si>
    <t>Och-ACan_019-Ex1-7B-lcwgs-1-2</t>
  </si>
  <si>
    <t>Och-ACan_020-Ex1-8B-lcwgs-1-2</t>
  </si>
  <si>
    <t>Och-ACan_021-Ex1-9B-lcwgs-1-2</t>
  </si>
  <si>
    <t>Och-ACan_022-Ex1-10B-lcwgs-1-2</t>
  </si>
  <si>
    <t>Och-ACan_023-Ex1-11B-lcwgs-1-2</t>
  </si>
  <si>
    <t>Och-ACan_024-Ex1-12B-lcwgs-1-2</t>
  </si>
  <si>
    <t>Och-ACat_001-Ex1-1A-lcwgs-2-2</t>
  </si>
  <si>
    <t>Och-ACat_002-Ex1-2A-lcwgs-2-2</t>
  </si>
  <si>
    <t>Och-ACat_003-Ex1-3A-lcwgs-2-2</t>
  </si>
  <si>
    <t>Och-ACat_004-Ex1-4A-lcwgs-2-2</t>
  </si>
  <si>
    <t>Och-ACat_005-Ex1-5A-lcwgs-2-2</t>
  </si>
  <si>
    <t>Och-ACat_006-Ex1-6A-lcwgs-2-2</t>
  </si>
  <si>
    <t>Och-ACat_007-Ex1-7A-lcwgs-2-2</t>
  </si>
  <si>
    <t>Och-ACat_008-Ex1-8A-lcwgs-2-2</t>
  </si>
  <si>
    <t>Och-ACat_009-Ex1-9A-lcwgs-2-2</t>
  </si>
  <si>
    <t>Och-ACat_010-Ex1-10A-lcwgs-2-2</t>
  </si>
  <si>
    <t>Och-ACat_011-Ex1-11A-lcwgs-2-2</t>
  </si>
  <si>
    <t>Och-ACat_012-Ex1-12A-lcwgs-2-2</t>
  </si>
  <si>
    <t>Och-ACat_013-Ex1-1B-lcwgs-2-2</t>
  </si>
  <si>
    <t>Och-ACat_014-Ex1-2B-lcwgs-2-2</t>
  </si>
  <si>
    <t>Och-ACat_015-Ex1-3B-lcwgs-2-2</t>
  </si>
  <si>
    <t>Och-ACat_016-Ex1-4B-lcwgs-2-2</t>
  </si>
  <si>
    <t>Och-ACat_017-Ex1-5B-lcwgs-2-2</t>
  </si>
  <si>
    <t>Och-ACat_018-Ex1-6B-lcwgs-2-2</t>
  </si>
  <si>
    <t>Och-ACat_019-Ex1-7B-lcwgs-2-2</t>
  </si>
  <si>
    <t>Och-ACat_020-Ex1-8B-lcwgs-2-2</t>
  </si>
  <si>
    <t>Och-ACat_021-Ex1-9B-lcwgs-2-2</t>
  </si>
  <si>
    <t>Och-ACat_022-Ex1-10B-lcwgs-2-2</t>
  </si>
  <si>
    <t>Och-ACat_023-Ex1-11B-lcwgs-2-2</t>
  </si>
  <si>
    <t>Och-ACat_024-Ex1-12B-lcwgs-2-2</t>
  </si>
  <si>
    <t>Och-ACat_025-Ex1-1C-lcwgs-2-2</t>
  </si>
  <si>
    <t>Och-ACat_026-Ex1-2C-lcwgs-2-2</t>
  </si>
  <si>
    <t>Och-ACat_027-Ex1-3C-lcwgs-2-2</t>
  </si>
  <si>
    <t>Och-ACat_028-Ex1-4C-lcwgs-2-2</t>
  </si>
  <si>
    <t>Och-ACat_029-Ex1-5C-lcwgs-2-2</t>
  </si>
  <si>
    <t>Och-ACat_030-Ex1-6C-lcwgs-2-2</t>
  </si>
  <si>
    <t>Och-ACat_031-Ex1-7C-lcwgs-2-2</t>
  </si>
  <si>
    <t>Och-ACat_032-Ex1-8C-lcwgs-2-2</t>
  </si>
  <si>
    <t>Och-ACat_033-Ex1-9C-lcwgs-2-2</t>
  </si>
  <si>
    <t>Och-ACat_034-Ex1-10C-lcwgs-2-2</t>
  </si>
  <si>
    <t>Och-ACat_035-Ex1-11C-lcwgs-2-2</t>
  </si>
  <si>
    <t>Och-ACat_036-Ex1-12C-lcwgs-2-2</t>
  </si>
  <si>
    <t>Och-ACat_037-Ex1-1D-lcwgs-2-2</t>
  </si>
  <si>
    <t>Och-ACat_038-Ex1-2D-lcwgs-2-2</t>
  </si>
  <si>
    <t>Och-ACat_039-Ex1-3D-lcwgs-2-2</t>
  </si>
  <si>
    <t>Och-ACat_039-Ex1-8A-lcwgs-1-2</t>
  </si>
  <si>
    <t>Och-ACat_040-Ex1-4D-lcwgs-2-2</t>
  </si>
  <si>
    <t>Och-ACat_041-Ex1-5D-lcwgs-2-2</t>
  </si>
  <si>
    <t>Och-ATum_001-Ex1-6D-lcwgs-2-2</t>
  </si>
  <si>
    <t>Och-ATum_002-Ex1-7D-lcwgs-2-2</t>
  </si>
  <si>
    <t>Och-ATum_003-Ex1-8D-lcwgs-2-2</t>
  </si>
  <si>
    <t>Och-ATum_004-Ex1-9D-lcwgs-2-2</t>
  </si>
  <si>
    <t>Och-ATum_005-Ex1-10D-lcwgs-2-2</t>
  </si>
  <si>
    <t>Och-ATum_006-Ex1-11D-lcwgs-2-2</t>
  </si>
  <si>
    <t>Och-ATum_007-Ex1-12D-lcwgs-2-2</t>
  </si>
  <si>
    <t>Och-ATum_008-Ex1-1E-lcwgs-2-2</t>
  </si>
  <si>
    <t>Och-ATum_009-Ex1-2E-lcwgs-2-2</t>
  </si>
  <si>
    <t>Och-ATum_010-Ex1-3E-lcwgs-2-2</t>
  </si>
  <si>
    <t>Och-ATum_011-Ex1-4E-lcwgs-2-2</t>
  </si>
  <si>
    <t>Och-ATum_012-Ex1-5E-lcwgs-2-2</t>
  </si>
  <si>
    <t>Och-ATum_013-Ex1-6E-lcwgs-2-2</t>
  </si>
  <si>
    <t>Och-ATum_014-Ex1-7E-lcwgs-2-2</t>
  </si>
  <si>
    <t>Och-ATum_015-Ex1-8E-lcwgs-2-2</t>
  </si>
  <si>
    <t>Och-ATum_016-Ex1-9E-lcwgs-2-2</t>
  </si>
  <si>
    <t>Och-ATum_017-Ex1-10E-lcwgs-2-2</t>
  </si>
  <si>
    <t>Och-ATum_018-Ex1-11E-lcwgs-2-2</t>
  </si>
  <si>
    <t>Och-ATum_019-Ex1-12E-lcwgs-2-2</t>
  </si>
  <si>
    <t>Och-ATum_020-Ex1-1F-lcwgs-2-2</t>
  </si>
  <si>
    <t>Och-ATum_021-Ex1-2F-lcwgs-2-2</t>
  </si>
  <si>
    <t>Och-ATum_022-Ex1-3F-lcwgs-2-2</t>
  </si>
  <si>
    <t>Och-ATum_023-Ex1-4F-lcwgs-2-2</t>
  </si>
  <si>
    <t>Och-ATum_024-Ex1-5F-lcwgs-2-2</t>
  </si>
  <si>
    <t>Och-ATum_025-Ex1-6F-lcwgs-2-2</t>
  </si>
  <si>
    <t>Och-ATum_026-Ex1-7F-lcwgs-2-2</t>
  </si>
  <si>
    <t>Och-ATum_027-Ex1-8F-lcwgs-2-2</t>
  </si>
  <si>
    <t>Och-ATum_028-Ex1-9F-lcwgs-2-2</t>
  </si>
  <si>
    <t>Och-ATum_029-Ex1-10F-lcwgs-2-2</t>
  </si>
  <si>
    <t>Och-ATum_030-Ex1-11F-lcwgs-2-2</t>
  </si>
  <si>
    <t>Och-ATum_031-Ex1-12F-lcwgs-2-2</t>
  </si>
  <si>
    <t>Och-ATum_032-Ex1-1G-lcwgs-2-2</t>
  </si>
  <si>
    <t>Och-ATum_033-Ex1-2G-lcwgs-2-2</t>
  </si>
  <si>
    <t>Och-ATum_034-Ex1-3G-lcwgs-2-2</t>
  </si>
  <si>
    <t>Och-ATum_035-Ex1-4G-lcwgs-2-2</t>
  </si>
  <si>
    <t>Och-ATum_036-Ex1-5G-lcwgs-2-2</t>
  </si>
  <si>
    <t>Och-CBur_013_Ex1-1A-lcwgs-1-2</t>
  </si>
  <si>
    <t>Och-CBur_015_Ex1-2E-lcwgs-1-2</t>
  </si>
  <si>
    <t>Och-CBur_016_Ex1-3A-lcwgs-1-2</t>
  </si>
  <si>
    <t>Och-CBur_017_Ex1-3H-lcwgs-1-2</t>
  </si>
  <si>
    <t>Och-CBur_018_Ex1-4G-lcwgs-1-2</t>
  </si>
  <si>
    <t>Och-CBur_021_Ex1-6F-lcwgs-1-2</t>
  </si>
  <si>
    <t>Och-CBur_022_Ex1-7B-lcwgs-1-2</t>
  </si>
  <si>
    <t>Och-CBur_023_Ex1-7G-lcwgs-1-2</t>
  </si>
  <si>
    <t>Och-CBur_025_Ex1-1B-lcwgs-1-2</t>
  </si>
  <si>
    <t>Och-CBur_028_Ex1-3B-lcwgs-1-2</t>
  </si>
  <si>
    <t>Och-CBur_029_Ex1-4A-lcwgs-1-2</t>
  </si>
  <si>
    <t>Och-CBur_030_Ex1-4H-lcwgs-1-2</t>
  </si>
  <si>
    <t>Och-CBur_032_Ex1-6B-lcwgs-1-2</t>
  </si>
  <si>
    <t>Och-CBur_035_Ex1-7H-lcwgs-1-2</t>
  </si>
  <si>
    <t>Och-CBur_037_Ex1-1C-lcwgs-1-2</t>
  </si>
  <si>
    <t>Och-CBur_038_Ex1-2A-lcwgs-1-2</t>
  </si>
  <si>
    <t>Och-CBur_040_Ex1-3C-lcwgs-1-2</t>
  </si>
  <si>
    <t>Och-CBur_041_Ex1-4B-lcwgs-1-2</t>
  </si>
  <si>
    <t>Och-CBur_045_Ex1-6G-lcwgs-1-2</t>
  </si>
  <si>
    <t>Och-CBur_047_Ex1-8A-lcwgs-1-2</t>
  </si>
  <si>
    <t>Och-CBur_049_Ex1-1D-lcwgs-1-2</t>
  </si>
  <si>
    <t>Och-CBur_051_Ex1-2F-lcwgs-1-2</t>
  </si>
  <si>
    <t>Och-CBur_052_Ex1-3D-lcwgs-1-2</t>
  </si>
  <si>
    <t>Och-CBur_055_Ex1-5G-lcwgs-1-2</t>
  </si>
  <si>
    <t>Och-CBur_056_Ex1-6D-lcwgs-1-2</t>
  </si>
  <si>
    <t>Och-CBur_057_Ex1-6H-lcwgs-1-2</t>
  </si>
  <si>
    <t>Och-CBur_058_Ex1-7D-lcwgs-1-2</t>
  </si>
  <si>
    <t>Och-CBur_059_Ex1-8B-lcwgs-1-2</t>
  </si>
  <si>
    <t>Och-CBur_060_Ex1-8F-lcwgs-1-2</t>
  </si>
  <si>
    <t>Och-CBur_061_Ex1-1E-lcwgs-1-2</t>
  </si>
  <si>
    <t>Och-CBur_062_Ex1-2B-lcwgs-1-2</t>
  </si>
  <si>
    <t>Och-CBur_063_Ex1-2G-lcwgs-1-2</t>
  </si>
  <si>
    <t>Och-CBur_064_Ex1-3E-lcwgs-1-2</t>
  </si>
  <si>
    <t>Och-CBur_065_Ex1-4D-lcwgs-1-2</t>
  </si>
  <si>
    <t>Och-CBur_069_Ex1-7A-lcwgs-1-2</t>
  </si>
  <si>
    <t>Och-CBur_070_Ex1-7E-lcwgs-1-2</t>
  </si>
  <si>
    <t>Och-CBur_072_Ex1-8G-lcwgs-1-2</t>
  </si>
  <si>
    <t>Och-CBur_073_Ex1-1F-lcwgs-1-2</t>
  </si>
  <si>
    <t>Och-CBur_074_Ex1-2C-lcwgs-1-2</t>
  </si>
  <si>
    <t>Och-CBur_076_Ex1-3F-lcwgs-1-2</t>
  </si>
  <si>
    <t>Och-CBur_079_Ex1-6A-lcwgs-1-2</t>
  </si>
  <si>
    <t>Och-CBur_080_Ex1-6E-lcwgs-1-2</t>
  </si>
  <si>
    <t>Och-CBur_082_Ex1-7F-lcwgs-1-2</t>
  </si>
  <si>
    <t>Och-CBur_084_Ex1-8H-lcwgs-1-2</t>
  </si>
  <si>
    <t>Och-CBur_086_Ex1-2D-lcwgs-1-2</t>
  </si>
  <si>
    <t>Och-CBur_087_Ex1-2H-lcwgs-1-2</t>
  </si>
  <si>
    <t>Och-CBur_088_Ex1-3G-lcwgs-1-2</t>
  </si>
  <si>
    <t>Och-CBur_089_Ex1-4F-lcwgs-1-2</t>
  </si>
  <si>
    <t>Och-CCat_001-Ex1-1A-lcwgs-1-2</t>
  </si>
  <si>
    <t>Och-CCat_002-Ex1-1B-lcwgs-1-2</t>
  </si>
  <si>
    <t>Och-CCat_003-Ex1-1C-lcwgs-1-2</t>
  </si>
  <si>
    <t>Och-CCat_004-Ex1-1D-lcwgs-1-2</t>
  </si>
  <si>
    <t>Och-CCat_005-Ex1-1E-lcwgs-1-2</t>
  </si>
  <si>
    <t>Och-CCat_006-Ex1-1F-lcwgs-1-2</t>
  </si>
  <si>
    <t>Och-CCat_007-Ex1-1G-lcwgs-1-2</t>
  </si>
  <si>
    <t>Och-CCat_008-Ex1-1H-lcwgs-1-2</t>
  </si>
  <si>
    <t>Och-CCat_009-Ex1-2A-lcwgs-1-2</t>
  </si>
  <si>
    <t>Och-CCat_010-Ex1-2B-lcwgs-1-2</t>
  </si>
  <si>
    <t>Och-CCat_011-Ex1-2C-lcwgs-1-2</t>
  </si>
  <si>
    <t>Och-CCat_013-Ex1-2E-lcwgs-1-2</t>
  </si>
  <si>
    <t>Och-CCat_014-Ex1-2F-lcwgs-1-2</t>
  </si>
  <si>
    <t>Och-CCat_017-Ex1-3A-lcwgs-1-2</t>
  </si>
  <si>
    <t>Och-CCat_019-Ex1-3C-lcwgs-1-2</t>
  </si>
  <si>
    <t>Och-CCat_020-Ex1-3D-lcwgs-1-2</t>
  </si>
  <si>
    <t>Och-CCat_021-Ex1-3E-lcwgs-1-2</t>
  </si>
  <si>
    <t>Och-CCat_023-Ex1-4E-lcwgs-1-2</t>
  </si>
  <si>
    <t>Och-CCat_024-Ex1-5G-lcwgs-1-2</t>
  </si>
  <si>
    <t>Och-CCat_025-Ex1-4A-lcwgs-1-2</t>
  </si>
  <si>
    <t>Och-CCat_028-Ex1-5C-lcwgs-1-2</t>
  </si>
  <si>
    <t>Och-CCat_029-Ex1-3H-lcwgs-1-2</t>
  </si>
  <si>
    <t>Och-CCat_031-Ex1-3G-lcwgs-1-2</t>
  </si>
  <si>
    <t>Och-CCat_035-Ex1-6A-lcwgs-1-2</t>
  </si>
  <si>
    <t>Och-CCat_036-Ex1-5D-lcwgs-1-2</t>
  </si>
  <si>
    <t>Och-CCat_037-Ex1-4B-lcwgs-1-2</t>
  </si>
  <si>
    <t>Och-CCat_038-Ex1-4C-lcwgs-1-2</t>
  </si>
  <si>
    <t>Och-CCat_047-Ex1-4H-lcwgs-1-2</t>
  </si>
  <si>
    <t>Och-CCat_051-Ex1-8B-lcwgs-1-2</t>
  </si>
  <si>
    <t>Och-CCat_059-Ex1-8C-lcwgs-1-2</t>
  </si>
  <si>
    <t>Och-CCat_063-Ex1-5E-lcwgs-1-2</t>
  </si>
  <si>
    <t>Och-CCat_065-Ex1-4F-lcwgs-1-2</t>
  </si>
  <si>
    <t>Och-CCat_066-Ex1-7A-lcwgs-1-2</t>
  </si>
  <si>
    <t>Och-CCat_069-Ex1-5F-lcwgs-1-2</t>
  </si>
  <si>
    <t>Och-CCat_072-Ex1-7E-lcwgs-1-2</t>
  </si>
  <si>
    <t>Och-CCat_074-Ex1-6E-lcwgs-1-2</t>
  </si>
  <si>
    <t>Och-CCat_075-Ex1-5B-lcwgs-1-2</t>
  </si>
  <si>
    <t>Och-CCat_077-Ex1-5A-lcwgs-1-2</t>
  </si>
  <si>
    <t>Och-CCat_079-Ex1-8A-lcwgs-1-2</t>
  </si>
  <si>
    <t>Och-CCat_082-Ex1-6H-lcwgs-1-2</t>
  </si>
  <si>
    <t>Och-CCat_083-Ex1-6F-lcwgs-1-2</t>
  </si>
  <si>
    <t>Och-CCat_084-Ex1-7D-lcwgs-1-2</t>
  </si>
  <si>
    <t>Och-CCat_085-Ex1-6G-lcwgs-1-2</t>
  </si>
  <si>
    <t>Och-CCat_090-Ex1-8G-lcwgs-1-2</t>
  </si>
  <si>
    <t>Och-CCat_092-Ex1-8F-lcwgs-1-2</t>
  </si>
  <si>
    <t>Och-CCat_094-Ex1-4D-lcwgs-1-2</t>
  </si>
  <si>
    <t>Och-CCat_095-Ex1-7B-lcwgs-1-2</t>
  </si>
  <si>
    <t>Och-CCat_096-Ex1-6B-lcwgs-1-2</t>
  </si>
  <si>
    <t>Och-CTum_001-Ex1-5A-lcwgs-1-2</t>
  </si>
  <si>
    <t>Och-CTum_002-Ex1-5B-lcwgs-1-2</t>
  </si>
  <si>
    <t>Och-CTum_003-Ex1-5C-lcwgs-1-2</t>
  </si>
  <si>
    <t>Och-CTum_004-Ex1-5D-lcwgs-1-2</t>
  </si>
  <si>
    <t>Och-CTum_005-Ex1-5E-lcwgs-1-2</t>
  </si>
  <si>
    <t>Och-CTum_006-Ex1-5F-lcwgs-1-2</t>
  </si>
  <si>
    <t>Och-CTum_007-Ex1-5G-lcwgs-1-2</t>
  </si>
  <si>
    <t>Och-CTum_008-Ex1-5H-lcwgs-1-2</t>
  </si>
  <si>
    <t>Och-CTum_009-Ex1-6A-lcwgs-1-2</t>
  </si>
  <si>
    <t>Och-CTum_010-Ex1-6B-lcwgs-1-2</t>
  </si>
  <si>
    <t>Och-CTum_011-Ex1-6C-lcwgs-1-2</t>
  </si>
  <si>
    <t>Och-CTum_012-Ex1-6D-lcwgs-1-2</t>
  </si>
  <si>
    <t>Och-CTum_013-Ex1-6E-lcwgs-1-2</t>
  </si>
  <si>
    <t>Och-CTum_014-Ex1-6F-lcwgs-1-2</t>
  </si>
  <si>
    <t>Och-CTum_015-Ex1-6G-lcwgs-1-2</t>
  </si>
  <si>
    <t>Och-CTum_016-Ex1-6H-lcwgs-1-2</t>
  </si>
  <si>
    <t>Och-CTum_017-Ex1-7A-lcwgs-1-2</t>
  </si>
  <si>
    <t>Och-CTum_018-Ex1-7B-lcwgs-1-2</t>
  </si>
  <si>
    <t>Och-CTum_019-Ex1-7C-lcwgs-1-2</t>
  </si>
  <si>
    <t>Och-CTum_020-Ex1-7D-lcwgs-1-2</t>
  </si>
  <si>
    <t>Och-CTum_021-Ex1-7E-lcwgs-1-2</t>
  </si>
  <si>
    <t>Och-CTum_022-Ex1-7F-lcwgs-1-2</t>
  </si>
  <si>
    <t>Och-CTum_023-Ex1-7G-lcwgs-1-2</t>
  </si>
  <si>
    <t>Och-CTum_024-Ex1-7H-lcwgs-1-2</t>
  </si>
  <si>
    <t>Och-CTum_025-Ex1-8A-lcwgs-1-2</t>
  </si>
  <si>
    <t>Och-CTum_026-Ex1-8B-lcwgs-1-2</t>
  </si>
  <si>
    <t>Och-CTum_027-Ex1-8C-lcwgs-1-2</t>
  </si>
  <si>
    <t>Och-CTum_028-Ex1-8D-lcwgs-1-2</t>
  </si>
  <si>
    <t>Och-CTum_029-Ex1-8E-lcwgs-1-2</t>
  </si>
  <si>
    <t>Och-CTum_030-Ex1-8F-lcwgs-1-2</t>
  </si>
  <si>
    <t>Och-CTum_031-Ex1-8G-lcwgs-1-2</t>
  </si>
  <si>
    <t>Och-CTum_032-Ex1-8H-lcwgs-1-2</t>
  </si>
  <si>
    <t>Och-CTum_033-Ex1-9A-lcwgs-1-2</t>
  </si>
  <si>
    <t>Och-CTum_034-Ex1-9B-lcwgs-1-2</t>
  </si>
  <si>
    <t>Och-CTum_035-Ex1-9C-lcwgs-1-2</t>
  </si>
  <si>
    <t>Och-CTum_036-Ex1-9D-lcwgs-1-2</t>
  </si>
  <si>
    <t>Och-CTum_037-Ex1-9E-lcwgs-1-2</t>
  </si>
  <si>
    <t>Och-CTum_038-Ex1-9F-lcwgs-1-2</t>
  </si>
  <si>
    <t>Och-CTum_039-Ex1-9G-lcwgs-1-2</t>
  </si>
  <si>
    <t>Och-CTum_040-Ex1-9H-lcwgs-1-2</t>
  </si>
  <si>
    <t>Och-CTum_041-Ex1-10A-lcwgs-1-2</t>
  </si>
  <si>
    <t>Och-CTum_042-Ex1-10B-lcwgs-1-2</t>
  </si>
  <si>
    <t>Och-CTum_043-Ex1-10C-lcwgs-1-2</t>
  </si>
  <si>
    <t>Och-CTum_044-Ex1-10D-lcwgs-1-2</t>
  </si>
  <si>
    <t>Och-CTum_045-Ex1-10E-lcwgs-1-2</t>
  </si>
  <si>
    <t>Och-CTum_047-Ex1-10G-lcwgs-1-2</t>
  </si>
  <si>
    <t>Och-CTum_048-Ex1-10H-lcwgs-1-2</t>
  </si>
  <si>
    <t>Och-CTum_049-Ex1-11A-lcwgs-1-2</t>
  </si>
  <si>
    <t>NovoGeneSeqID</t>
  </si>
  <si>
    <t>Sequence_ID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</si>
</sst>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sz val="10"/>
      <color indexed="8"/>
      <name val="Verdana"/>
      <family val="2"/>
    </font>
    <font>
      <sz val="10"/>
      <name val="Verdana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0" xfId="0" applyFont="1" applyFill="1"/>
    <xf numFmtId="164" fontId="0" fillId="0" borderId="0" xfId="0" applyNumberFormat="1"/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0" fillId="3" borderId="0" xfId="0" applyFill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F358"/>
  <sheetViews>
    <sheetView tabSelected="1" zoomScale="75" zoomScaleNormal="75" workbookViewId="0">
      <pane xSplit="1" ySplit="1" topLeftCell="CH323" activePane="bottomRight" state="frozen"/>
      <selection pane="topRight" activeCell="B1" sqref="B1"/>
      <selection pane="bottomLeft" activeCell="A2" sqref="A2"/>
      <selection pane="bottomRight" activeCell="CN1" sqref="CN1"/>
    </sheetView>
  </sheetViews>
  <sheetFormatPr defaultColWidth="8.83984375" defaultRowHeight="14.4" x14ac:dyDescent="0.55000000000000004"/>
  <cols>
    <col min="1" max="1" width="15.83984375" style="3"/>
    <col min="2" max="2" width="20" style="3"/>
    <col min="3" max="3" width="8.83984375" style="3"/>
    <col min="4" max="4" width="13.41796875" style="3" customWidth="1"/>
    <col min="5" max="5" width="16.15625" style="3" bestFit="1" customWidth="1"/>
    <col min="6" max="18" width="8.83984375" style="3" customWidth="1"/>
    <col min="19" max="19" width="10.83984375" style="3" bestFit="1" customWidth="1"/>
    <col min="20" max="20" width="10.83984375" style="3" customWidth="1"/>
    <col min="21" max="21" width="31" style="3" customWidth="1"/>
    <col min="22" max="25" width="8.83984375" style="5" customWidth="1"/>
    <col min="26" max="27" width="8.83984375" style="3" customWidth="1"/>
    <col min="28" max="28" width="36.68359375" style="3" bestFit="1" customWidth="1"/>
    <col min="29" max="29" width="7.83984375" style="3" customWidth="1"/>
    <col min="30" max="30" width="6.83984375" style="3" customWidth="1"/>
    <col min="31" max="31" width="7.41796875" style="3" customWidth="1"/>
    <col min="32" max="32" width="6.83984375" style="3" customWidth="1"/>
    <col min="33" max="33" width="9.83984375" customWidth="1"/>
    <col min="34" max="34" width="19.15625" customWidth="1"/>
    <col min="35" max="35" width="11.578125" customWidth="1"/>
    <col min="36" max="36" width="12.26171875" bestFit="1" customWidth="1"/>
    <col min="37" max="37" width="13.83984375" style="3" hidden="1" customWidth="1"/>
    <col min="38" max="38" width="4.68359375" style="3" hidden="1" customWidth="1"/>
    <col min="39" max="39" width="7.41796875" style="3" hidden="1" customWidth="1"/>
    <col min="40" max="40" width="13.41796875" style="4" hidden="1" customWidth="1"/>
    <col min="41" max="41" width="9" style="3" customWidth="1"/>
    <col min="42" max="42" width="3.83984375" style="3" customWidth="1"/>
    <col min="43" max="43" width="8.15625" style="3" customWidth="1"/>
    <col min="44" max="44" width="8.15625" style="3" hidden="1" customWidth="1"/>
    <col min="45" max="50" width="8.83984375" hidden="1" customWidth="1"/>
    <col min="51" max="56" width="8.83984375" style="3" hidden="1" customWidth="1"/>
    <col min="57" max="57" width="5.68359375" style="3" bestFit="1" customWidth="1"/>
    <col min="58" max="58" width="8.83984375" style="3" customWidth="1"/>
    <col min="59" max="59" width="9.26171875" style="3" bestFit="1" customWidth="1"/>
    <col min="60" max="60" width="25.83984375" style="3" bestFit="1" customWidth="1"/>
    <col min="61" max="67" width="8.83984375" style="3" customWidth="1"/>
    <col min="68" max="68" width="24.1015625" style="3" customWidth="1"/>
    <col min="69" max="71" width="10.15625" style="3"/>
    <col min="72" max="72" width="12.578125" style="3" customWidth="1"/>
    <col min="73" max="75" width="10.15625" style="3"/>
    <col min="76" max="76" width="11.41796875" style="21" bestFit="1" customWidth="1"/>
    <col min="77" max="77" width="33.734375" style="3" bestFit="1" customWidth="1"/>
    <col min="78" max="81" width="10.15625" style="3"/>
    <col min="82" max="82" width="14" style="3" bestFit="1" customWidth="1"/>
    <col min="83" max="83" width="15.15625" style="21" bestFit="1" customWidth="1"/>
    <col min="84" max="84" width="32.15625" style="21" bestFit="1" customWidth="1"/>
    <col min="85" max="85" width="10.15625" style="3"/>
    <col min="86" max="86" width="24" bestFit="1" customWidth="1"/>
    <col min="87" max="87" width="24.41796875" bestFit="1" customWidth="1"/>
    <col min="88" max="89" width="10.15625" style="3"/>
    <col min="90" max="90" width="17.05078125" style="3" customWidth="1"/>
    <col min="91" max="91" width="16" style="32" bestFit="1" customWidth="1"/>
    <col min="92" max="1020" width="10.15625" style="3"/>
  </cols>
  <sheetData>
    <row r="1" spans="1:92" s="1" customFormat="1" ht="72.400000000000006" customHeight="1" thickTop="1" thickBot="1" x14ac:dyDescent="0.6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s="6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421</v>
      </c>
      <c r="BI1" s="1" t="s">
        <v>60</v>
      </c>
      <c r="BJ1" s="1" t="s">
        <v>422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423</v>
      </c>
      <c r="BT1" s="1" t="s">
        <v>60</v>
      </c>
      <c r="BU1" s="1" t="s">
        <v>422</v>
      </c>
      <c r="BV1" s="1" t="s">
        <v>61</v>
      </c>
      <c r="BW1" s="1" t="s">
        <v>62</v>
      </c>
      <c r="BX1" s="30" t="s">
        <v>69</v>
      </c>
      <c r="BY1" s="1" t="s">
        <v>59</v>
      </c>
      <c r="BZ1" s="1" t="s">
        <v>60</v>
      </c>
      <c r="CA1" s="1" t="s">
        <v>59</v>
      </c>
      <c r="CB1" s="1" t="s">
        <v>61</v>
      </c>
      <c r="CC1" s="1" t="s">
        <v>62</v>
      </c>
      <c r="CD1" s="1" t="s">
        <v>459</v>
      </c>
      <c r="CE1" s="30" t="s">
        <v>2107</v>
      </c>
      <c r="CF1" s="30" t="s">
        <v>2108</v>
      </c>
      <c r="CG1" s="1" t="s">
        <v>1193</v>
      </c>
      <c r="CH1" t="s">
        <v>1194</v>
      </c>
      <c r="CI1" t="s">
        <v>1195</v>
      </c>
      <c r="CJ1" s="9" t="s">
        <v>1196</v>
      </c>
      <c r="CK1" s="9" t="s">
        <v>1197</v>
      </c>
      <c r="CL1" s="9" t="s">
        <v>454</v>
      </c>
      <c r="CM1" s="31" t="s">
        <v>1613</v>
      </c>
      <c r="CN1" s="1" t="s">
        <v>1860</v>
      </c>
    </row>
    <row r="2" spans="1:92" ht="14.7" thickTop="1" x14ac:dyDescent="0.55000000000000004">
      <c r="A2" t="s">
        <v>197</v>
      </c>
      <c r="B2" t="s">
        <v>710</v>
      </c>
      <c r="C2" s="3">
        <v>1</v>
      </c>
      <c r="E2" t="s">
        <v>198</v>
      </c>
      <c r="F2">
        <v>1</v>
      </c>
      <c r="G2" t="s">
        <v>73</v>
      </c>
      <c r="H2" s="3">
        <v>2.1330919861773898</v>
      </c>
      <c r="I2" s="3" t="s">
        <v>74</v>
      </c>
      <c r="J2" s="3">
        <v>0.2</v>
      </c>
      <c r="K2" s="3">
        <v>7.25</v>
      </c>
      <c r="L2" s="3">
        <v>0.25</v>
      </c>
      <c r="O2" s="3">
        <v>95.989139377982539</v>
      </c>
      <c r="P2" s="3">
        <v>45</v>
      </c>
      <c r="R2" s="3">
        <v>10</v>
      </c>
      <c r="S2" s="4">
        <v>44945</v>
      </c>
      <c r="T2" s="3" t="s">
        <v>199</v>
      </c>
      <c r="U2" s="3" t="s">
        <v>200</v>
      </c>
      <c r="V2">
        <v>5</v>
      </c>
      <c r="W2" t="s">
        <v>83</v>
      </c>
      <c r="X2">
        <v>6</v>
      </c>
      <c r="Y2" t="s">
        <v>83</v>
      </c>
      <c r="Z2">
        <v>3</v>
      </c>
      <c r="AA2" t="s">
        <v>83</v>
      </c>
      <c r="AB2" t="s">
        <v>201</v>
      </c>
      <c r="AC2" s="3" t="s">
        <v>78</v>
      </c>
      <c r="AD2" s="3">
        <v>5</v>
      </c>
      <c r="AE2">
        <v>3</v>
      </c>
      <c r="AF2" t="s">
        <v>83</v>
      </c>
      <c r="AG2" t="s">
        <v>682</v>
      </c>
      <c r="AH2" s="17" t="s">
        <v>683</v>
      </c>
      <c r="AI2" t="s">
        <v>684</v>
      </c>
      <c r="AJ2" s="18" t="s">
        <v>685</v>
      </c>
      <c r="AO2" s="3">
        <v>5.5915154165755515E-2</v>
      </c>
      <c r="AP2" s="3">
        <v>37</v>
      </c>
      <c r="AQ2" s="3">
        <f t="shared" ref="AQ2:AQ65" si="0">AO2*AP2</f>
        <v>2.0688607041329541</v>
      </c>
      <c r="BE2" s="3" t="s">
        <v>185</v>
      </c>
      <c r="BF2" s="3" t="s">
        <v>186</v>
      </c>
      <c r="BG2" s="3" t="s">
        <v>186</v>
      </c>
      <c r="BH2" s="3" t="s">
        <v>186</v>
      </c>
      <c r="BI2" s="3" t="s">
        <v>186</v>
      </c>
      <c r="BJ2" s="3" t="s">
        <v>186</v>
      </c>
      <c r="BK2" s="3" t="s">
        <v>186</v>
      </c>
      <c r="BL2" s="3" t="s">
        <v>186</v>
      </c>
      <c r="BM2" s="3" t="s">
        <v>186</v>
      </c>
      <c r="BN2" s="3" t="s">
        <v>186</v>
      </c>
      <c r="BO2" s="3" t="s">
        <v>186</v>
      </c>
      <c r="BP2" s="3" t="s">
        <v>186</v>
      </c>
      <c r="BQ2" s="3" t="s">
        <v>186</v>
      </c>
      <c r="BR2" s="3" t="s">
        <v>186</v>
      </c>
      <c r="BS2" s="3" t="s">
        <v>186</v>
      </c>
      <c r="BT2" s="3" t="s">
        <v>186</v>
      </c>
      <c r="BU2" s="3" t="s">
        <v>186</v>
      </c>
      <c r="BV2" s="3" t="s">
        <v>186</v>
      </c>
      <c r="BW2" s="3" t="s">
        <v>186</v>
      </c>
      <c r="BX2" s="21" t="s">
        <v>186</v>
      </c>
      <c r="BY2" s="3" t="s">
        <v>186</v>
      </c>
      <c r="BZ2" s="3" t="s">
        <v>186</v>
      </c>
      <c r="CA2" s="3" t="s">
        <v>186</v>
      </c>
      <c r="CB2" s="3" t="s">
        <v>186</v>
      </c>
      <c r="CC2" s="3" t="s">
        <v>186</v>
      </c>
      <c r="CD2" s="3" t="s">
        <v>186</v>
      </c>
      <c r="CE2" s="21" t="s">
        <v>186</v>
      </c>
      <c r="CF2" s="21" t="s">
        <v>186</v>
      </c>
      <c r="CG2" s="3" t="s">
        <v>186</v>
      </c>
      <c r="CH2" s="3" t="s">
        <v>186</v>
      </c>
      <c r="CI2" s="3" t="s">
        <v>186</v>
      </c>
      <c r="CJ2" s="3" t="s">
        <v>186</v>
      </c>
      <c r="CK2" s="3" t="s">
        <v>186</v>
      </c>
      <c r="CL2" s="3" t="s">
        <v>186</v>
      </c>
      <c r="CM2" s="32" t="str">
        <f t="shared" ref="CM2:CM33" si="1">IF(CL2="N/A","",CD2)</f>
        <v/>
      </c>
    </row>
    <row r="3" spans="1:92" x14ac:dyDescent="0.55000000000000004">
      <c r="A3" t="s">
        <v>202</v>
      </c>
      <c r="B3" t="s">
        <v>711</v>
      </c>
      <c r="C3" s="3">
        <v>1</v>
      </c>
      <c r="E3" t="s">
        <v>198</v>
      </c>
      <c r="F3">
        <v>2</v>
      </c>
      <c r="G3" t="s">
        <v>73</v>
      </c>
      <c r="H3" s="3">
        <v>8.2335198288629243</v>
      </c>
      <c r="I3" s="3" t="s">
        <v>74</v>
      </c>
      <c r="J3" s="3">
        <v>0.2</v>
      </c>
      <c r="K3" s="3">
        <v>7.25</v>
      </c>
      <c r="L3" s="3">
        <v>0.25</v>
      </c>
      <c r="O3" s="3">
        <v>100</v>
      </c>
      <c r="P3" s="3">
        <v>12.145473877338111</v>
      </c>
      <c r="R3" s="3">
        <v>10</v>
      </c>
      <c r="S3" s="4">
        <v>44945</v>
      </c>
      <c r="T3" s="3" t="s">
        <v>199</v>
      </c>
      <c r="U3" s="3" t="s">
        <v>200</v>
      </c>
      <c r="V3">
        <v>5</v>
      </c>
      <c r="W3" t="s">
        <v>84</v>
      </c>
      <c r="X3">
        <v>6</v>
      </c>
      <c r="Y3" t="s">
        <v>84</v>
      </c>
      <c r="Z3">
        <v>3</v>
      </c>
      <c r="AA3" t="s">
        <v>84</v>
      </c>
      <c r="AB3" t="s">
        <v>201</v>
      </c>
      <c r="AC3" s="3" t="s">
        <v>78</v>
      </c>
      <c r="AD3" s="3">
        <v>5</v>
      </c>
      <c r="AE3">
        <v>3</v>
      </c>
      <c r="AF3" t="s">
        <v>84</v>
      </c>
      <c r="AG3" t="s">
        <v>686</v>
      </c>
      <c r="AH3" s="17" t="s">
        <v>687</v>
      </c>
      <c r="AI3" t="s">
        <v>684</v>
      </c>
      <c r="AJ3" s="18" t="s">
        <v>685</v>
      </c>
      <c r="AO3" s="3">
        <v>5.043734966105401E-2</v>
      </c>
      <c r="AP3" s="3">
        <v>37</v>
      </c>
      <c r="AQ3" s="3">
        <f t="shared" si="0"/>
        <v>1.8661819374589983</v>
      </c>
      <c r="BE3" s="3" t="s">
        <v>185</v>
      </c>
      <c r="BF3" s="3" t="s">
        <v>186</v>
      </c>
      <c r="BG3" s="3" t="s">
        <v>186</v>
      </c>
      <c r="BH3" s="3" t="s">
        <v>186</v>
      </c>
      <c r="BI3" s="3" t="s">
        <v>186</v>
      </c>
      <c r="BJ3" s="3" t="s">
        <v>186</v>
      </c>
      <c r="BK3" s="3" t="s">
        <v>186</v>
      </c>
      <c r="BL3" s="3" t="s">
        <v>186</v>
      </c>
      <c r="BM3" s="3" t="s">
        <v>186</v>
      </c>
      <c r="BN3" s="3" t="s">
        <v>186</v>
      </c>
      <c r="BO3" s="3" t="s">
        <v>186</v>
      </c>
      <c r="BP3" s="3" t="s">
        <v>186</v>
      </c>
      <c r="BQ3" s="3" t="s">
        <v>186</v>
      </c>
      <c r="BR3" s="3" t="s">
        <v>186</v>
      </c>
      <c r="BS3" s="3" t="s">
        <v>186</v>
      </c>
      <c r="BT3" s="3" t="s">
        <v>186</v>
      </c>
      <c r="BU3" s="3" t="s">
        <v>186</v>
      </c>
      <c r="BV3" s="3" t="s">
        <v>186</v>
      </c>
      <c r="BW3" s="3" t="s">
        <v>186</v>
      </c>
      <c r="BX3" s="21" t="s">
        <v>186</v>
      </c>
      <c r="BY3" s="3" t="s">
        <v>186</v>
      </c>
      <c r="BZ3" s="3" t="s">
        <v>186</v>
      </c>
      <c r="CA3" s="3" t="s">
        <v>186</v>
      </c>
      <c r="CB3" s="3" t="s">
        <v>186</v>
      </c>
      <c r="CC3" s="3" t="s">
        <v>186</v>
      </c>
      <c r="CD3" s="3" t="s">
        <v>186</v>
      </c>
      <c r="CE3" s="21" t="s">
        <v>186</v>
      </c>
      <c r="CF3" s="21" t="s">
        <v>186</v>
      </c>
      <c r="CG3" s="3" t="s">
        <v>186</v>
      </c>
      <c r="CH3" s="3" t="s">
        <v>186</v>
      </c>
      <c r="CI3" s="3" t="s">
        <v>186</v>
      </c>
      <c r="CJ3" s="3" t="s">
        <v>186</v>
      </c>
      <c r="CK3" s="3" t="s">
        <v>186</v>
      </c>
      <c r="CL3" s="3" t="s">
        <v>186</v>
      </c>
      <c r="CM3" s="32" t="str">
        <f t="shared" si="1"/>
        <v/>
      </c>
    </row>
    <row r="4" spans="1:92" x14ac:dyDescent="0.55000000000000004">
      <c r="A4" t="s">
        <v>203</v>
      </c>
      <c r="B4" t="s">
        <v>712</v>
      </c>
      <c r="C4" s="3">
        <v>1</v>
      </c>
      <c r="E4" t="s">
        <v>198</v>
      </c>
      <c r="F4">
        <v>3</v>
      </c>
      <c r="G4" t="s">
        <v>73</v>
      </c>
      <c r="H4" s="3">
        <v>5.433231857824584</v>
      </c>
      <c r="I4" s="3" t="s">
        <v>74</v>
      </c>
      <c r="J4" s="3">
        <v>0.2</v>
      </c>
      <c r="K4" s="3">
        <v>7.25</v>
      </c>
      <c r="L4" s="3">
        <v>0.25</v>
      </c>
      <c r="O4" s="3">
        <v>100</v>
      </c>
      <c r="P4" s="3">
        <v>18.405251720665401</v>
      </c>
      <c r="R4" s="3">
        <v>10</v>
      </c>
      <c r="S4" s="4">
        <v>44945</v>
      </c>
      <c r="T4" s="3" t="s">
        <v>199</v>
      </c>
      <c r="U4" s="3" t="s">
        <v>200</v>
      </c>
      <c r="V4">
        <v>5</v>
      </c>
      <c r="W4" t="s">
        <v>87</v>
      </c>
      <c r="X4">
        <v>6</v>
      </c>
      <c r="Y4" t="s">
        <v>87</v>
      </c>
      <c r="Z4">
        <v>3</v>
      </c>
      <c r="AA4" t="s">
        <v>87</v>
      </c>
      <c r="AB4" t="s">
        <v>201</v>
      </c>
      <c r="AC4" s="3" t="s">
        <v>78</v>
      </c>
      <c r="AD4" s="3">
        <v>5</v>
      </c>
      <c r="AE4">
        <v>3</v>
      </c>
      <c r="AF4" t="s">
        <v>87</v>
      </c>
      <c r="AG4" t="s">
        <v>688</v>
      </c>
      <c r="AH4" s="17" t="s">
        <v>689</v>
      </c>
      <c r="AI4" t="s">
        <v>684</v>
      </c>
      <c r="AJ4" s="18" t="s">
        <v>685</v>
      </c>
      <c r="AO4" s="3">
        <v>8.0935199358553839E-2</v>
      </c>
      <c r="AP4" s="3">
        <v>37</v>
      </c>
      <c r="AQ4" s="3">
        <f t="shared" si="0"/>
        <v>2.9946023762664922</v>
      </c>
      <c r="BE4" s="3" t="s">
        <v>185</v>
      </c>
      <c r="BF4" s="3" t="s">
        <v>186</v>
      </c>
      <c r="BG4" s="3" t="s">
        <v>186</v>
      </c>
      <c r="BH4" s="3" t="s">
        <v>186</v>
      </c>
      <c r="BI4" s="3" t="s">
        <v>186</v>
      </c>
      <c r="BJ4" s="3" t="s">
        <v>186</v>
      </c>
      <c r="BK4" s="3" t="s">
        <v>186</v>
      </c>
      <c r="BL4" s="3" t="s">
        <v>186</v>
      </c>
      <c r="BM4" s="3" t="s">
        <v>186</v>
      </c>
      <c r="BN4" s="3" t="s">
        <v>186</v>
      </c>
      <c r="BO4" s="3" t="s">
        <v>186</v>
      </c>
      <c r="BP4" s="3" t="s">
        <v>186</v>
      </c>
      <c r="BQ4" s="3" t="s">
        <v>186</v>
      </c>
      <c r="BR4" s="3" t="s">
        <v>186</v>
      </c>
      <c r="BS4" s="3" t="s">
        <v>186</v>
      </c>
      <c r="BT4" s="3" t="s">
        <v>186</v>
      </c>
      <c r="BU4" s="3" t="s">
        <v>186</v>
      </c>
      <c r="BV4" s="3" t="s">
        <v>186</v>
      </c>
      <c r="BW4" s="3" t="s">
        <v>186</v>
      </c>
      <c r="BX4" s="21" t="s">
        <v>186</v>
      </c>
      <c r="BY4" s="3" t="s">
        <v>186</v>
      </c>
      <c r="BZ4" s="3" t="s">
        <v>186</v>
      </c>
      <c r="CA4" s="3" t="s">
        <v>186</v>
      </c>
      <c r="CB4" s="3" t="s">
        <v>186</v>
      </c>
      <c r="CC4" s="3" t="s">
        <v>186</v>
      </c>
      <c r="CD4" s="3" t="s">
        <v>186</v>
      </c>
      <c r="CE4" s="21" t="s">
        <v>186</v>
      </c>
      <c r="CF4" s="21" t="s">
        <v>186</v>
      </c>
      <c r="CG4" s="3" t="s">
        <v>186</v>
      </c>
      <c r="CH4" s="3" t="s">
        <v>186</v>
      </c>
      <c r="CI4" s="3" t="s">
        <v>186</v>
      </c>
      <c r="CJ4" s="3" t="s">
        <v>186</v>
      </c>
      <c r="CK4" s="3" t="s">
        <v>186</v>
      </c>
      <c r="CL4" s="3" t="s">
        <v>186</v>
      </c>
      <c r="CM4" s="32" t="str">
        <f t="shared" si="1"/>
        <v/>
      </c>
    </row>
    <row r="5" spans="1:92" x14ac:dyDescent="0.55000000000000004">
      <c r="A5" t="s">
        <v>204</v>
      </c>
      <c r="B5" t="s">
        <v>713</v>
      </c>
      <c r="C5" s="3">
        <v>1</v>
      </c>
      <c r="E5" t="s">
        <v>198</v>
      </c>
      <c r="F5">
        <v>4</v>
      </c>
      <c r="G5" t="s">
        <v>73</v>
      </c>
      <c r="H5" s="3">
        <v>7.4243746914596009</v>
      </c>
      <c r="I5" s="3" t="s">
        <v>74</v>
      </c>
      <c r="J5" s="3">
        <v>0.2</v>
      </c>
      <c r="K5" s="3">
        <v>7.25</v>
      </c>
      <c r="L5" s="3">
        <v>0.25</v>
      </c>
      <c r="O5" s="3">
        <v>100</v>
      </c>
      <c r="P5" s="3">
        <v>13.469147794363328</v>
      </c>
      <c r="R5" s="3">
        <v>10</v>
      </c>
      <c r="S5" s="4">
        <v>44945</v>
      </c>
      <c r="T5" s="3" t="s">
        <v>199</v>
      </c>
      <c r="U5" s="3" t="s">
        <v>200</v>
      </c>
      <c r="V5">
        <v>5</v>
      </c>
      <c r="W5" t="s">
        <v>88</v>
      </c>
      <c r="X5">
        <v>6</v>
      </c>
      <c r="Y5" t="s">
        <v>88</v>
      </c>
      <c r="Z5">
        <v>3</v>
      </c>
      <c r="AA5" t="s">
        <v>88</v>
      </c>
      <c r="AB5" t="s">
        <v>201</v>
      </c>
      <c r="AC5" s="3" t="s">
        <v>78</v>
      </c>
      <c r="AD5" s="3">
        <v>5</v>
      </c>
      <c r="AE5">
        <v>3</v>
      </c>
      <c r="AF5" t="s">
        <v>88</v>
      </c>
      <c r="AG5" t="s">
        <v>690</v>
      </c>
      <c r="AH5" s="17" t="s">
        <v>691</v>
      </c>
      <c r="AI5" t="s">
        <v>684</v>
      </c>
      <c r="AJ5" s="18" t="s">
        <v>685</v>
      </c>
      <c r="AO5" s="3">
        <v>1.6910853560755364E-3</v>
      </c>
      <c r="AP5" s="3">
        <v>37</v>
      </c>
      <c r="AQ5" s="3">
        <f t="shared" si="0"/>
        <v>6.2570158174794846E-2</v>
      </c>
      <c r="BE5" s="3" t="s">
        <v>185</v>
      </c>
      <c r="BF5" s="3" t="s">
        <v>186</v>
      </c>
      <c r="BG5" s="3" t="s">
        <v>186</v>
      </c>
      <c r="BH5" s="3" t="s">
        <v>186</v>
      </c>
      <c r="BI5" s="3" t="s">
        <v>186</v>
      </c>
      <c r="BJ5" s="3" t="s">
        <v>186</v>
      </c>
      <c r="BK5" s="3" t="s">
        <v>186</v>
      </c>
      <c r="BL5" s="3" t="s">
        <v>186</v>
      </c>
      <c r="BM5" s="3" t="s">
        <v>186</v>
      </c>
      <c r="BN5" s="3" t="s">
        <v>186</v>
      </c>
      <c r="BO5" s="3" t="s">
        <v>186</v>
      </c>
      <c r="BP5" s="3" t="s">
        <v>186</v>
      </c>
      <c r="BQ5" s="3" t="s">
        <v>186</v>
      </c>
      <c r="BR5" s="3" t="s">
        <v>186</v>
      </c>
      <c r="BS5" s="3" t="s">
        <v>186</v>
      </c>
      <c r="BT5" s="3" t="s">
        <v>186</v>
      </c>
      <c r="BU5" s="3" t="s">
        <v>186</v>
      </c>
      <c r="BV5" s="3" t="s">
        <v>186</v>
      </c>
      <c r="BW5" s="3" t="s">
        <v>186</v>
      </c>
      <c r="BX5" s="21" t="s">
        <v>186</v>
      </c>
      <c r="BY5" s="3" t="s">
        <v>186</v>
      </c>
      <c r="BZ5" s="3" t="s">
        <v>186</v>
      </c>
      <c r="CA5" s="3" t="s">
        <v>186</v>
      </c>
      <c r="CB5" s="3" t="s">
        <v>186</v>
      </c>
      <c r="CC5" s="3" t="s">
        <v>186</v>
      </c>
      <c r="CD5" s="3" t="s">
        <v>186</v>
      </c>
      <c r="CE5" s="21" t="s">
        <v>186</v>
      </c>
      <c r="CF5" s="21" t="s">
        <v>186</v>
      </c>
      <c r="CG5" s="3" t="s">
        <v>186</v>
      </c>
      <c r="CH5" s="3" t="s">
        <v>186</v>
      </c>
      <c r="CI5" s="3" t="s">
        <v>186</v>
      </c>
      <c r="CJ5" s="3" t="s">
        <v>186</v>
      </c>
      <c r="CK5" s="3" t="s">
        <v>186</v>
      </c>
      <c r="CL5" s="3" t="s">
        <v>186</v>
      </c>
      <c r="CM5" s="32" t="str">
        <f t="shared" si="1"/>
        <v/>
      </c>
    </row>
    <row r="6" spans="1:92" x14ac:dyDescent="0.55000000000000004">
      <c r="A6" t="s">
        <v>205</v>
      </c>
      <c r="B6" t="s">
        <v>714</v>
      </c>
      <c r="C6" s="3">
        <v>1</v>
      </c>
      <c r="E6" t="s">
        <v>198</v>
      </c>
      <c r="F6">
        <v>5</v>
      </c>
      <c r="G6" t="s">
        <v>73</v>
      </c>
      <c r="H6" s="3">
        <v>10.687938127365475</v>
      </c>
      <c r="I6" s="3" t="s">
        <v>74</v>
      </c>
      <c r="J6" s="3">
        <v>0.2</v>
      </c>
      <c r="K6" s="3">
        <v>7.25</v>
      </c>
      <c r="L6" s="3">
        <v>0.25</v>
      </c>
      <c r="O6" s="3">
        <v>100</v>
      </c>
      <c r="P6" s="3">
        <v>9.356341588838287</v>
      </c>
      <c r="R6" s="3">
        <v>10</v>
      </c>
      <c r="S6" s="4">
        <v>44945</v>
      </c>
      <c r="T6" s="3" t="s">
        <v>199</v>
      </c>
      <c r="U6" s="3" t="s">
        <v>200</v>
      </c>
      <c r="V6">
        <v>5</v>
      </c>
      <c r="W6" t="s">
        <v>91</v>
      </c>
      <c r="X6">
        <v>6</v>
      </c>
      <c r="Y6" t="s">
        <v>91</v>
      </c>
      <c r="Z6">
        <v>3</v>
      </c>
      <c r="AA6" t="s">
        <v>91</v>
      </c>
      <c r="AB6" t="s">
        <v>201</v>
      </c>
      <c r="AC6" s="3" t="s">
        <v>78</v>
      </c>
      <c r="AD6" s="3">
        <v>5</v>
      </c>
      <c r="AE6">
        <v>3</v>
      </c>
      <c r="AF6" t="s">
        <v>91</v>
      </c>
      <c r="AG6" t="s">
        <v>692</v>
      </c>
      <c r="AH6" s="17" t="s">
        <v>693</v>
      </c>
      <c r="AI6" t="s">
        <v>684</v>
      </c>
      <c r="AJ6" s="18" t="s">
        <v>685</v>
      </c>
      <c r="AO6" s="3">
        <v>7.0657482323784521E-2</v>
      </c>
      <c r="AP6" s="3">
        <v>37</v>
      </c>
      <c r="AQ6" s="3">
        <f t="shared" si="0"/>
        <v>2.6143268459800271</v>
      </c>
      <c r="BE6" s="3" t="s">
        <v>185</v>
      </c>
      <c r="BF6" s="3" t="s">
        <v>186</v>
      </c>
      <c r="BG6" s="3" t="s">
        <v>186</v>
      </c>
      <c r="BH6" s="3" t="s">
        <v>186</v>
      </c>
      <c r="BI6" s="3" t="s">
        <v>186</v>
      </c>
      <c r="BJ6" s="3" t="s">
        <v>186</v>
      </c>
      <c r="BK6" s="3" t="s">
        <v>186</v>
      </c>
      <c r="BL6" s="3" t="s">
        <v>186</v>
      </c>
      <c r="BM6" s="3" t="s">
        <v>186</v>
      </c>
      <c r="BN6" s="3" t="s">
        <v>186</v>
      </c>
      <c r="BO6" s="3" t="s">
        <v>186</v>
      </c>
      <c r="BP6" s="3" t="s">
        <v>186</v>
      </c>
      <c r="BQ6" s="3" t="s">
        <v>186</v>
      </c>
      <c r="BR6" s="3" t="s">
        <v>186</v>
      </c>
      <c r="BS6" s="3" t="s">
        <v>186</v>
      </c>
      <c r="BT6" s="3" t="s">
        <v>186</v>
      </c>
      <c r="BU6" s="3" t="s">
        <v>186</v>
      </c>
      <c r="BV6" s="3" t="s">
        <v>186</v>
      </c>
      <c r="BW6" s="3" t="s">
        <v>186</v>
      </c>
      <c r="BX6" s="21" t="s">
        <v>186</v>
      </c>
      <c r="BY6" s="3" t="s">
        <v>186</v>
      </c>
      <c r="BZ6" s="3" t="s">
        <v>186</v>
      </c>
      <c r="CA6" s="3" t="s">
        <v>186</v>
      </c>
      <c r="CB6" s="3" t="s">
        <v>186</v>
      </c>
      <c r="CC6" s="3" t="s">
        <v>186</v>
      </c>
      <c r="CD6" s="3" t="s">
        <v>186</v>
      </c>
      <c r="CE6" s="21" t="s">
        <v>186</v>
      </c>
      <c r="CF6" s="21" t="s">
        <v>186</v>
      </c>
      <c r="CG6" s="3" t="s">
        <v>186</v>
      </c>
      <c r="CH6" s="3" t="s">
        <v>186</v>
      </c>
      <c r="CI6" s="3" t="s">
        <v>186</v>
      </c>
      <c r="CJ6" s="3" t="s">
        <v>186</v>
      </c>
      <c r="CK6" s="3" t="s">
        <v>186</v>
      </c>
      <c r="CL6" s="3" t="s">
        <v>186</v>
      </c>
      <c r="CM6" s="32" t="str">
        <f t="shared" si="1"/>
        <v/>
      </c>
    </row>
    <row r="7" spans="1:92" x14ac:dyDescent="0.55000000000000004">
      <c r="A7" t="s">
        <v>206</v>
      </c>
      <c r="B7" t="s">
        <v>715</v>
      </c>
      <c r="C7" s="3">
        <v>1</v>
      </c>
      <c r="E7" t="s">
        <v>198</v>
      </c>
      <c r="F7">
        <v>6</v>
      </c>
      <c r="G7" t="s">
        <v>73</v>
      </c>
      <c r="H7" s="3">
        <v>13.140550436070429</v>
      </c>
      <c r="I7" s="3" t="s">
        <v>74</v>
      </c>
      <c r="J7" s="3">
        <v>0.2</v>
      </c>
      <c r="K7" s="3">
        <v>7.25</v>
      </c>
      <c r="L7" s="3">
        <v>0.25</v>
      </c>
      <c r="O7" s="3">
        <v>100</v>
      </c>
      <c r="P7" s="3">
        <v>7.6100312910411203</v>
      </c>
      <c r="R7" s="3">
        <v>10</v>
      </c>
      <c r="S7" s="4">
        <v>44945</v>
      </c>
      <c r="T7" s="3" t="s">
        <v>199</v>
      </c>
      <c r="U7" s="3" t="s">
        <v>200</v>
      </c>
      <c r="V7">
        <v>5</v>
      </c>
      <c r="W7" t="s">
        <v>92</v>
      </c>
      <c r="X7">
        <v>6</v>
      </c>
      <c r="Y7" t="s">
        <v>92</v>
      </c>
      <c r="Z7">
        <v>3</v>
      </c>
      <c r="AA7" t="s">
        <v>92</v>
      </c>
      <c r="AB7" t="s">
        <v>201</v>
      </c>
      <c r="AC7" s="3" t="s">
        <v>78</v>
      </c>
      <c r="AD7" s="3">
        <v>5</v>
      </c>
      <c r="AE7">
        <v>3</v>
      </c>
      <c r="AF7" t="s">
        <v>92</v>
      </c>
      <c r="AG7" t="s">
        <v>694</v>
      </c>
      <c r="AH7" s="17" t="s">
        <v>695</v>
      </c>
      <c r="AI7" t="s">
        <v>684</v>
      </c>
      <c r="AJ7" s="18" t="s">
        <v>685</v>
      </c>
      <c r="AO7" s="3">
        <v>-8.4157008528318394E-2</v>
      </c>
      <c r="AP7" s="3">
        <v>37</v>
      </c>
      <c r="AQ7" s="3">
        <f t="shared" si="0"/>
        <v>-3.1138093155477806</v>
      </c>
      <c r="BE7" s="3" t="s">
        <v>185</v>
      </c>
      <c r="BF7" s="3" t="s">
        <v>186</v>
      </c>
      <c r="BG7" s="3" t="s">
        <v>186</v>
      </c>
      <c r="BH7" s="3" t="s">
        <v>186</v>
      </c>
      <c r="BI7" s="3" t="s">
        <v>186</v>
      </c>
      <c r="BJ7" s="3" t="s">
        <v>186</v>
      </c>
      <c r="BK7" s="3" t="s">
        <v>186</v>
      </c>
      <c r="BL7" s="3" t="s">
        <v>186</v>
      </c>
      <c r="BM7" s="3" t="s">
        <v>186</v>
      </c>
      <c r="BN7" s="3" t="s">
        <v>186</v>
      </c>
      <c r="BO7" s="3" t="s">
        <v>186</v>
      </c>
      <c r="BP7" s="3" t="s">
        <v>186</v>
      </c>
      <c r="BQ7" s="3" t="s">
        <v>186</v>
      </c>
      <c r="BR7" s="3" t="s">
        <v>186</v>
      </c>
      <c r="BS7" s="3" t="s">
        <v>186</v>
      </c>
      <c r="BT7" s="3" t="s">
        <v>186</v>
      </c>
      <c r="BU7" s="3" t="s">
        <v>186</v>
      </c>
      <c r="BV7" s="3" t="s">
        <v>186</v>
      </c>
      <c r="BW7" s="3" t="s">
        <v>186</v>
      </c>
      <c r="BX7" s="21" t="s">
        <v>186</v>
      </c>
      <c r="BY7" s="3" t="s">
        <v>186</v>
      </c>
      <c r="BZ7" s="3" t="s">
        <v>186</v>
      </c>
      <c r="CA7" s="3" t="s">
        <v>186</v>
      </c>
      <c r="CB7" s="3" t="s">
        <v>186</v>
      </c>
      <c r="CC7" s="3" t="s">
        <v>186</v>
      </c>
      <c r="CD7" s="3" t="s">
        <v>186</v>
      </c>
      <c r="CE7" s="21" t="s">
        <v>186</v>
      </c>
      <c r="CF7" s="21" t="s">
        <v>186</v>
      </c>
      <c r="CG7" s="3" t="s">
        <v>186</v>
      </c>
      <c r="CH7" s="3" t="s">
        <v>186</v>
      </c>
      <c r="CI7" s="3" t="s">
        <v>186</v>
      </c>
      <c r="CJ7" s="3" t="s">
        <v>186</v>
      </c>
      <c r="CK7" s="3" t="s">
        <v>186</v>
      </c>
      <c r="CL7" s="3" t="s">
        <v>186</v>
      </c>
      <c r="CM7" s="32" t="str">
        <f t="shared" si="1"/>
        <v/>
      </c>
    </row>
    <row r="8" spans="1:92" x14ac:dyDescent="0.55000000000000004">
      <c r="A8" t="s">
        <v>208</v>
      </c>
      <c r="B8" t="s">
        <v>716</v>
      </c>
      <c r="C8" s="3">
        <v>1</v>
      </c>
      <c r="E8" t="s">
        <v>198</v>
      </c>
      <c r="F8">
        <v>8</v>
      </c>
      <c r="G8" t="s">
        <v>73</v>
      </c>
      <c r="H8" s="3">
        <v>4.3887773572486424</v>
      </c>
      <c r="I8" s="3" t="s">
        <v>74</v>
      </c>
      <c r="J8" s="3">
        <v>0.2</v>
      </c>
      <c r="K8" s="3">
        <v>7.25</v>
      </c>
      <c r="L8" s="3">
        <v>0.25</v>
      </c>
      <c r="O8" s="3">
        <v>100</v>
      </c>
      <c r="P8" s="3">
        <v>22.785389155099622</v>
      </c>
      <c r="R8" s="3">
        <v>10</v>
      </c>
      <c r="S8" s="4">
        <v>44945</v>
      </c>
      <c r="T8" s="3" t="s">
        <v>199</v>
      </c>
      <c r="U8" s="3" t="s">
        <v>200</v>
      </c>
      <c r="V8">
        <v>7</v>
      </c>
      <c r="W8" t="s">
        <v>76</v>
      </c>
      <c r="X8">
        <v>8</v>
      </c>
      <c r="Y8" t="s">
        <v>76</v>
      </c>
      <c r="Z8">
        <v>4</v>
      </c>
      <c r="AA8" t="s">
        <v>76</v>
      </c>
      <c r="AB8" t="s">
        <v>201</v>
      </c>
      <c r="AC8" s="3" t="s">
        <v>78</v>
      </c>
      <c r="AD8" s="3">
        <v>5</v>
      </c>
      <c r="AE8">
        <v>4</v>
      </c>
      <c r="AF8" t="s">
        <v>76</v>
      </c>
      <c r="AG8" t="s">
        <v>700</v>
      </c>
      <c r="AH8" s="17" t="s">
        <v>701</v>
      </c>
      <c r="AI8" t="s">
        <v>698</v>
      </c>
      <c r="AJ8" s="18" t="s">
        <v>699</v>
      </c>
      <c r="AO8" s="3">
        <v>0.14437276769443838</v>
      </c>
      <c r="AP8" s="3">
        <v>37</v>
      </c>
      <c r="AQ8" s="3">
        <f t="shared" si="0"/>
        <v>5.3417924046942202</v>
      </c>
      <c r="BE8" s="3" t="s">
        <v>185</v>
      </c>
      <c r="BF8" s="3" t="s">
        <v>186</v>
      </c>
      <c r="BG8" s="3" t="s">
        <v>186</v>
      </c>
      <c r="BH8" s="3" t="s">
        <v>186</v>
      </c>
      <c r="BI8" s="3" t="s">
        <v>186</v>
      </c>
      <c r="BJ8" s="3" t="s">
        <v>186</v>
      </c>
      <c r="BK8" s="3" t="s">
        <v>186</v>
      </c>
      <c r="BL8" s="3" t="s">
        <v>186</v>
      </c>
      <c r="BM8" s="3" t="s">
        <v>186</v>
      </c>
      <c r="BN8" s="3" t="s">
        <v>186</v>
      </c>
      <c r="BO8" s="3" t="s">
        <v>186</v>
      </c>
      <c r="BP8" s="3" t="s">
        <v>186</v>
      </c>
      <c r="BQ8" s="3" t="s">
        <v>186</v>
      </c>
      <c r="BR8" s="3" t="s">
        <v>186</v>
      </c>
      <c r="BS8" s="3" t="s">
        <v>186</v>
      </c>
      <c r="BT8" s="3" t="s">
        <v>186</v>
      </c>
      <c r="BU8" s="3" t="s">
        <v>186</v>
      </c>
      <c r="BV8" s="3" t="s">
        <v>186</v>
      </c>
      <c r="BW8" s="3" t="s">
        <v>186</v>
      </c>
      <c r="BX8" s="21" t="s">
        <v>186</v>
      </c>
      <c r="BY8" s="3" t="s">
        <v>186</v>
      </c>
      <c r="BZ8" s="3" t="s">
        <v>186</v>
      </c>
      <c r="CA8" s="3" t="s">
        <v>186</v>
      </c>
      <c r="CB8" s="3" t="s">
        <v>186</v>
      </c>
      <c r="CC8" s="3" t="s">
        <v>186</v>
      </c>
      <c r="CD8" s="3" t="s">
        <v>186</v>
      </c>
      <c r="CE8" s="21" t="s">
        <v>186</v>
      </c>
      <c r="CF8" s="21" t="s">
        <v>186</v>
      </c>
      <c r="CG8" s="3" t="s">
        <v>186</v>
      </c>
      <c r="CH8" s="3" t="s">
        <v>186</v>
      </c>
      <c r="CI8" s="3" t="s">
        <v>186</v>
      </c>
      <c r="CJ8" s="3" t="s">
        <v>186</v>
      </c>
      <c r="CK8" s="3" t="s">
        <v>186</v>
      </c>
      <c r="CL8" s="3" t="s">
        <v>186</v>
      </c>
      <c r="CM8" s="32" t="str">
        <f t="shared" si="1"/>
        <v/>
      </c>
    </row>
    <row r="9" spans="1:92" x14ac:dyDescent="0.55000000000000004">
      <c r="A9" t="s">
        <v>210</v>
      </c>
      <c r="B9" t="s">
        <v>717</v>
      </c>
      <c r="C9" s="3">
        <v>1</v>
      </c>
      <c r="E9" t="s">
        <v>198</v>
      </c>
      <c r="F9">
        <v>10</v>
      </c>
      <c r="G9" t="s">
        <v>73</v>
      </c>
      <c r="H9" s="3">
        <v>11.295812078328122</v>
      </c>
      <c r="I9" s="3" t="s">
        <v>74</v>
      </c>
      <c r="J9" s="3">
        <v>0.2</v>
      </c>
      <c r="K9" s="3">
        <v>7.25</v>
      </c>
      <c r="L9" s="3">
        <v>0.25</v>
      </c>
      <c r="O9" s="3">
        <v>100</v>
      </c>
      <c r="P9" s="3">
        <v>8.8528384950611585</v>
      </c>
      <c r="R9" s="3">
        <v>10</v>
      </c>
      <c r="S9" s="4">
        <v>44945</v>
      </c>
      <c r="T9" s="3" t="s">
        <v>199</v>
      </c>
      <c r="U9" s="3" t="s">
        <v>200</v>
      </c>
      <c r="V9">
        <v>7</v>
      </c>
      <c r="W9" t="s">
        <v>84</v>
      </c>
      <c r="X9">
        <v>8</v>
      </c>
      <c r="Y9" t="s">
        <v>84</v>
      </c>
      <c r="Z9">
        <v>4</v>
      </c>
      <c r="AA9" t="s">
        <v>84</v>
      </c>
      <c r="AB9" t="s">
        <v>201</v>
      </c>
      <c r="AC9" s="3" t="s">
        <v>78</v>
      </c>
      <c r="AD9" s="3">
        <v>5</v>
      </c>
      <c r="AE9">
        <v>4</v>
      </c>
      <c r="AF9" t="s">
        <v>84</v>
      </c>
      <c r="AG9" t="s">
        <v>686</v>
      </c>
      <c r="AH9" s="17" t="s">
        <v>687</v>
      </c>
      <c r="AI9" t="s">
        <v>698</v>
      </c>
      <c r="AJ9" s="18" t="s">
        <v>699</v>
      </c>
      <c r="AO9" s="3">
        <v>-0.12406152051898825</v>
      </c>
      <c r="AP9" s="3">
        <v>37</v>
      </c>
      <c r="AQ9" s="3">
        <f t="shared" si="0"/>
        <v>-4.5902762592025654</v>
      </c>
      <c r="BE9" s="3" t="s">
        <v>185</v>
      </c>
      <c r="BF9" s="3" t="s">
        <v>186</v>
      </c>
      <c r="BG9" s="3" t="s">
        <v>186</v>
      </c>
      <c r="BH9" s="3" t="s">
        <v>186</v>
      </c>
      <c r="BI9" s="3" t="s">
        <v>186</v>
      </c>
      <c r="BJ9" s="3" t="s">
        <v>186</v>
      </c>
      <c r="BK9" s="3" t="s">
        <v>186</v>
      </c>
      <c r="BL9" s="3" t="s">
        <v>186</v>
      </c>
      <c r="BM9" s="3" t="s">
        <v>186</v>
      </c>
      <c r="BN9" s="3" t="s">
        <v>186</v>
      </c>
      <c r="BO9" s="3" t="s">
        <v>186</v>
      </c>
      <c r="BP9" s="3" t="s">
        <v>186</v>
      </c>
      <c r="BQ9" s="3" t="s">
        <v>186</v>
      </c>
      <c r="BR9" s="3" t="s">
        <v>186</v>
      </c>
      <c r="BS9" s="3" t="s">
        <v>186</v>
      </c>
      <c r="BT9" s="3" t="s">
        <v>186</v>
      </c>
      <c r="BU9" s="3" t="s">
        <v>186</v>
      </c>
      <c r="BV9" s="3" t="s">
        <v>186</v>
      </c>
      <c r="BW9" s="3" t="s">
        <v>186</v>
      </c>
      <c r="BX9" s="21" t="s">
        <v>186</v>
      </c>
      <c r="BY9" s="3" t="s">
        <v>186</v>
      </c>
      <c r="BZ9" s="3" t="s">
        <v>186</v>
      </c>
      <c r="CA9" s="3" t="s">
        <v>186</v>
      </c>
      <c r="CB9" s="3" t="s">
        <v>186</v>
      </c>
      <c r="CC9" s="3" t="s">
        <v>186</v>
      </c>
      <c r="CD9" s="3" t="s">
        <v>186</v>
      </c>
      <c r="CE9" s="21" t="s">
        <v>186</v>
      </c>
      <c r="CF9" s="21" t="s">
        <v>186</v>
      </c>
      <c r="CG9" s="3" t="s">
        <v>186</v>
      </c>
      <c r="CH9" s="3" t="s">
        <v>186</v>
      </c>
      <c r="CI9" s="3" t="s">
        <v>186</v>
      </c>
      <c r="CJ9" s="3" t="s">
        <v>186</v>
      </c>
      <c r="CK9" s="3" t="s">
        <v>186</v>
      </c>
      <c r="CL9" s="3" t="s">
        <v>186</v>
      </c>
      <c r="CM9" s="32" t="str">
        <f t="shared" si="1"/>
        <v/>
      </c>
    </row>
    <row r="10" spans="1:92" x14ac:dyDescent="0.55000000000000004">
      <c r="A10" t="s">
        <v>211</v>
      </c>
      <c r="B10" t="s">
        <v>718</v>
      </c>
      <c r="C10" s="3">
        <v>1</v>
      </c>
      <c r="E10" t="s">
        <v>198</v>
      </c>
      <c r="F10">
        <v>11</v>
      </c>
      <c r="G10" t="s">
        <v>73</v>
      </c>
      <c r="H10" s="3">
        <v>7.2464003620207338</v>
      </c>
      <c r="I10" s="3" t="s">
        <v>74</v>
      </c>
      <c r="J10" s="3">
        <v>0.2</v>
      </c>
      <c r="K10" s="3">
        <v>7.25</v>
      </c>
      <c r="L10" s="3">
        <v>0.25</v>
      </c>
      <c r="O10" s="3">
        <v>100</v>
      </c>
      <c r="P10" s="3">
        <v>13.799955150713473</v>
      </c>
      <c r="R10" s="3">
        <v>10</v>
      </c>
      <c r="S10" s="4">
        <v>44945</v>
      </c>
      <c r="T10" s="3" t="s">
        <v>199</v>
      </c>
      <c r="U10" s="3" t="s">
        <v>200</v>
      </c>
      <c r="V10">
        <v>7</v>
      </c>
      <c r="W10" t="s">
        <v>87</v>
      </c>
      <c r="X10">
        <v>8</v>
      </c>
      <c r="Y10" t="s">
        <v>87</v>
      </c>
      <c r="Z10">
        <v>4</v>
      </c>
      <c r="AA10" t="s">
        <v>87</v>
      </c>
      <c r="AB10" t="s">
        <v>201</v>
      </c>
      <c r="AC10" s="3" t="s">
        <v>78</v>
      </c>
      <c r="AD10" s="3">
        <v>5</v>
      </c>
      <c r="AE10">
        <v>4</v>
      </c>
      <c r="AF10" t="s">
        <v>87</v>
      </c>
      <c r="AG10" t="s">
        <v>688</v>
      </c>
      <c r="AH10" s="17" t="s">
        <v>689</v>
      </c>
      <c r="AI10" t="s">
        <v>698</v>
      </c>
      <c r="AJ10" s="18" t="s">
        <v>699</v>
      </c>
      <c r="AO10" s="3">
        <v>0.11798964939135506</v>
      </c>
      <c r="AP10" s="3">
        <v>37</v>
      </c>
      <c r="AQ10" s="3">
        <f t="shared" si="0"/>
        <v>4.3656170274801376</v>
      </c>
      <c r="BE10" s="3" t="s">
        <v>185</v>
      </c>
      <c r="BF10" s="3" t="s">
        <v>186</v>
      </c>
      <c r="BG10" s="3" t="s">
        <v>186</v>
      </c>
      <c r="BH10" s="3" t="s">
        <v>186</v>
      </c>
      <c r="BI10" s="3" t="s">
        <v>186</v>
      </c>
      <c r="BJ10" s="3" t="s">
        <v>186</v>
      </c>
      <c r="BK10" s="3" t="s">
        <v>186</v>
      </c>
      <c r="BL10" s="3" t="s">
        <v>186</v>
      </c>
      <c r="BM10" s="3" t="s">
        <v>186</v>
      </c>
      <c r="BN10" s="3" t="s">
        <v>186</v>
      </c>
      <c r="BO10" s="3" t="s">
        <v>186</v>
      </c>
      <c r="BP10" s="3" t="s">
        <v>186</v>
      </c>
      <c r="BQ10" s="3" t="s">
        <v>186</v>
      </c>
      <c r="BR10" s="3" t="s">
        <v>186</v>
      </c>
      <c r="BS10" s="3" t="s">
        <v>186</v>
      </c>
      <c r="BT10" s="3" t="s">
        <v>186</v>
      </c>
      <c r="BU10" s="3" t="s">
        <v>186</v>
      </c>
      <c r="BV10" s="3" t="s">
        <v>186</v>
      </c>
      <c r="BW10" s="3" t="s">
        <v>186</v>
      </c>
      <c r="BX10" s="21" t="s">
        <v>186</v>
      </c>
      <c r="BY10" s="3" t="s">
        <v>186</v>
      </c>
      <c r="BZ10" s="3" t="s">
        <v>186</v>
      </c>
      <c r="CA10" s="3" t="s">
        <v>186</v>
      </c>
      <c r="CB10" s="3" t="s">
        <v>186</v>
      </c>
      <c r="CC10" s="3" t="s">
        <v>186</v>
      </c>
      <c r="CD10" s="3" t="s">
        <v>186</v>
      </c>
      <c r="CE10" s="21" t="s">
        <v>186</v>
      </c>
      <c r="CF10" s="21" t="s">
        <v>186</v>
      </c>
      <c r="CG10" s="3" t="s">
        <v>186</v>
      </c>
      <c r="CH10" s="3" t="s">
        <v>186</v>
      </c>
      <c r="CI10" s="3" t="s">
        <v>186</v>
      </c>
      <c r="CJ10" s="3" t="s">
        <v>186</v>
      </c>
      <c r="CK10" s="3" t="s">
        <v>186</v>
      </c>
      <c r="CL10" s="3" t="s">
        <v>186</v>
      </c>
      <c r="CM10" s="32" t="str">
        <f t="shared" si="1"/>
        <v/>
      </c>
    </row>
    <row r="11" spans="1:92" x14ac:dyDescent="0.55000000000000004">
      <c r="A11" t="s">
        <v>212</v>
      </c>
      <c r="B11" t="s">
        <v>719</v>
      </c>
      <c r="C11" s="3">
        <v>1</v>
      </c>
      <c r="E11" t="s">
        <v>198</v>
      </c>
      <c r="F11">
        <v>12</v>
      </c>
      <c r="G11" t="s">
        <v>73</v>
      </c>
      <c r="H11" s="3">
        <v>6.7747572815533985</v>
      </c>
      <c r="I11" s="3" t="s">
        <v>74</v>
      </c>
      <c r="J11" s="3">
        <v>0.2</v>
      </c>
      <c r="K11" s="3">
        <v>7.25</v>
      </c>
      <c r="L11" s="3">
        <v>0.25</v>
      </c>
      <c r="O11" s="3">
        <v>100</v>
      </c>
      <c r="P11" s="3">
        <v>14.760676411579247</v>
      </c>
      <c r="R11" s="3">
        <v>10</v>
      </c>
      <c r="S11" s="4">
        <v>44945</v>
      </c>
      <c r="T11" s="3" t="s">
        <v>199</v>
      </c>
      <c r="U11" s="3" t="s">
        <v>200</v>
      </c>
      <c r="V11">
        <v>7</v>
      </c>
      <c r="W11" t="s">
        <v>88</v>
      </c>
      <c r="X11">
        <v>8</v>
      </c>
      <c r="Y11" t="s">
        <v>88</v>
      </c>
      <c r="Z11">
        <v>4</v>
      </c>
      <c r="AA11" t="s">
        <v>88</v>
      </c>
      <c r="AB11" t="s">
        <v>201</v>
      </c>
      <c r="AC11" s="3" t="s">
        <v>78</v>
      </c>
      <c r="AD11" s="3">
        <v>5</v>
      </c>
      <c r="AE11">
        <v>4</v>
      </c>
      <c r="AF11" t="s">
        <v>88</v>
      </c>
      <c r="AG11" t="s">
        <v>690</v>
      </c>
      <c r="AH11" s="17" t="s">
        <v>691</v>
      </c>
      <c r="AI11" t="s">
        <v>698</v>
      </c>
      <c r="AJ11" s="18" t="s">
        <v>699</v>
      </c>
      <c r="AO11" s="3">
        <v>-9.1584663605219024E-2</v>
      </c>
      <c r="AP11" s="3">
        <v>37</v>
      </c>
      <c r="AQ11" s="3">
        <f t="shared" si="0"/>
        <v>-3.3886325533931041</v>
      </c>
      <c r="BE11" s="3" t="s">
        <v>185</v>
      </c>
      <c r="BF11" s="3" t="s">
        <v>186</v>
      </c>
      <c r="BG11" s="3" t="s">
        <v>186</v>
      </c>
      <c r="BH11" s="3" t="s">
        <v>186</v>
      </c>
      <c r="BI11" s="3" t="s">
        <v>186</v>
      </c>
      <c r="BJ11" s="3" t="s">
        <v>186</v>
      </c>
      <c r="BK11" s="3" t="s">
        <v>186</v>
      </c>
      <c r="BL11" s="3" t="s">
        <v>186</v>
      </c>
      <c r="BM11" s="3" t="s">
        <v>186</v>
      </c>
      <c r="BN11" s="3" t="s">
        <v>186</v>
      </c>
      <c r="BO11" s="3" t="s">
        <v>186</v>
      </c>
      <c r="BP11" s="3" t="s">
        <v>186</v>
      </c>
      <c r="BQ11" s="3" t="s">
        <v>186</v>
      </c>
      <c r="BR11" s="3" t="s">
        <v>186</v>
      </c>
      <c r="BS11" s="3" t="s">
        <v>186</v>
      </c>
      <c r="BT11" s="3" t="s">
        <v>186</v>
      </c>
      <c r="BU11" s="3" t="s">
        <v>186</v>
      </c>
      <c r="BV11" s="3" t="s">
        <v>186</v>
      </c>
      <c r="BW11" s="3" t="s">
        <v>186</v>
      </c>
      <c r="BX11" s="21" t="s">
        <v>186</v>
      </c>
      <c r="BY11" s="3" t="s">
        <v>186</v>
      </c>
      <c r="BZ11" s="3" t="s">
        <v>186</v>
      </c>
      <c r="CA11" s="3" t="s">
        <v>186</v>
      </c>
      <c r="CB11" s="3" t="s">
        <v>186</v>
      </c>
      <c r="CC11" s="3" t="s">
        <v>186</v>
      </c>
      <c r="CD11" s="3" t="s">
        <v>186</v>
      </c>
      <c r="CE11" s="21" t="s">
        <v>186</v>
      </c>
      <c r="CF11" s="21" t="s">
        <v>186</v>
      </c>
      <c r="CG11" s="3" t="s">
        <v>186</v>
      </c>
      <c r="CH11" s="3" t="s">
        <v>186</v>
      </c>
      <c r="CI11" s="3" t="s">
        <v>186</v>
      </c>
      <c r="CJ11" s="3" t="s">
        <v>186</v>
      </c>
      <c r="CK11" s="3" t="s">
        <v>186</v>
      </c>
      <c r="CL11" s="3" t="s">
        <v>186</v>
      </c>
      <c r="CM11" s="32" t="str">
        <f t="shared" si="1"/>
        <v/>
      </c>
    </row>
    <row r="12" spans="1:92" x14ac:dyDescent="0.55000000000000004">
      <c r="A12" t="s">
        <v>213</v>
      </c>
      <c r="B12" t="s">
        <v>720</v>
      </c>
      <c r="C12" s="3">
        <v>1</v>
      </c>
      <c r="E12" t="s">
        <v>198</v>
      </c>
      <c r="F12">
        <v>1</v>
      </c>
      <c r="G12" t="s">
        <v>76</v>
      </c>
      <c r="H12" s="3">
        <v>3.9026246503208819</v>
      </c>
      <c r="I12" s="3" t="s">
        <v>74</v>
      </c>
      <c r="J12" s="3">
        <v>0.2</v>
      </c>
      <c r="K12" s="3">
        <v>7.25</v>
      </c>
      <c r="L12" s="3">
        <v>0.25</v>
      </c>
      <c r="O12" s="3">
        <v>100</v>
      </c>
      <c r="P12" s="3">
        <v>25.623781162704898</v>
      </c>
      <c r="R12" s="3">
        <v>10</v>
      </c>
      <c r="S12" s="4">
        <v>44945</v>
      </c>
      <c r="T12" s="3" t="s">
        <v>199</v>
      </c>
      <c r="U12" s="3" t="s">
        <v>200</v>
      </c>
      <c r="V12">
        <v>7</v>
      </c>
      <c r="W12" t="s">
        <v>91</v>
      </c>
      <c r="X12">
        <v>8</v>
      </c>
      <c r="Y12" t="s">
        <v>91</v>
      </c>
      <c r="Z12">
        <v>4</v>
      </c>
      <c r="AA12" t="s">
        <v>91</v>
      </c>
      <c r="AB12" t="s">
        <v>201</v>
      </c>
      <c r="AC12" s="3" t="s">
        <v>78</v>
      </c>
      <c r="AD12" s="3">
        <v>5</v>
      </c>
      <c r="AE12">
        <v>4</v>
      </c>
      <c r="AF12" t="s">
        <v>91</v>
      </c>
      <c r="AG12" t="s">
        <v>692</v>
      </c>
      <c r="AH12" s="17" t="s">
        <v>693</v>
      </c>
      <c r="AI12" t="s">
        <v>698</v>
      </c>
      <c r="AJ12" s="18" t="s">
        <v>699</v>
      </c>
      <c r="AO12" s="3">
        <v>-5.8010787958306005E-2</v>
      </c>
      <c r="AP12" s="3">
        <v>37</v>
      </c>
      <c r="AQ12" s="3">
        <f t="shared" si="0"/>
        <v>-2.1463991544573222</v>
      </c>
      <c r="BE12" s="3" t="s">
        <v>185</v>
      </c>
      <c r="BF12" s="3" t="s">
        <v>186</v>
      </c>
      <c r="BG12" s="3" t="s">
        <v>186</v>
      </c>
      <c r="BH12" s="3" t="s">
        <v>186</v>
      </c>
      <c r="BI12" s="3" t="s">
        <v>186</v>
      </c>
      <c r="BJ12" s="3" t="s">
        <v>186</v>
      </c>
      <c r="BK12" s="3" t="s">
        <v>186</v>
      </c>
      <c r="BL12" s="3" t="s">
        <v>186</v>
      </c>
      <c r="BM12" s="3" t="s">
        <v>186</v>
      </c>
      <c r="BN12" s="3" t="s">
        <v>186</v>
      </c>
      <c r="BO12" s="3" t="s">
        <v>186</v>
      </c>
      <c r="BP12" s="3" t="s">
        <v>186</v>
      </c>
      <c r="BQ12" s="3" t="s">
        <v>186</v>
      </c>
      <c r="BR12" s="3" t="s">
        <v>186</v>
      </c>
      <c r="BS12" s="3" t="s">
        <v>186</v>
      </c>
      <c r="BT12" s="3" t="s">
        <v>186</v>
      </c>
      <c r="BU12" s="3" t="s">
        <v>186</v>
      </c>
      <c r="BV12" s="3" t="s">
        <v>186</v>
      </c>
      <c r="BW12" s="3" t="s">
        <v>186</v>
      </c>
      <c r="BX12" s="21" t="s">
        <v>186</v>
      </c>
      <c r="BY12" s="3" t="s">
        <v>186</v>
      </c>
      <c r="BZ12" s="3" t="s">
        <v>186</v>
      </c>
      <c r="CA12" s="3" t="s">
        <v>186</v>
      </c>
      <c r="CB12" s="3" t="s">
        <v>186</v>
      </c>
      <c r="CC12" s="3" t="s">
        <v>186</v>
      </c>
      <c r="CD12" s="3" t="s">
        <v>186</v>
      </c>
      <c r="CE12" s="21" t="s">
        <v>186</v>
      </c>
      <c r="CF12" s="21" t="s">
        <v>186</v>
      </c>
      <c r="CG12" s="3" t="s">
        <v>186</v>
      </c>
      <c r="CH12" s="3" t="s">
        <v>186</v>
      </c>
      <c r="CI12" s="3" t="s">
        <v>186</v>
      </c>
      <c r="CJ12" s="3" t="s">
        <v>186</v>
      </c>
      <c r="CK12" s="3" t="s">
        <v>186</v>
      </c>
      <c r="CL12" s="3" t="s">
        <v>186</v>
      </c>
      <c r="CM12" s="32" t="str">
        <f t="shared" si="1"/>
        <v/>
      </c>
    </row>
    <row r="13" spans="1:92" x14ac:dyDescent="0.55000000000000004">
      <c r="A13" t="s">
        <v>214</v>
      </c>
      <c r="B13" t="s">
        <v>721</v>
      </c>
      <c r="C13" s="3">
        <v>1</v>
      </c>
      <c r="E13" t="s">
        <v>198</v>
      </c>
      <c r="F13">
        <v>2</v>
      </c>
      <c r="G13" t="s">
        <v>76</v>
      </c>
      <c r="H13" s="3">
        <v>2.2948782293895009</v>
      </c>
      <c r="I13" s="3" t="s">
        <v>74</v>
      </c>
      <c r="J13" s="3">
        <v>0.2</v>
      </c>
      <c r="K13" s="3">
        <v>7.25</v>
      </c>
      <c r="L13" s="3">
        <v>0.25</v>
      </c>
      <c r="O13" s="3">
        <v>100</v>
      </c>
      <c r="P13" s="3">
        <v>43.575296815030867</v>
      </c>
      <c r="R13" s="3">
        <v>10</v>
      </c>
      <c r="S13" s="4">
        <v>44945</v>
      </c>
      <c r="T13" s="3" t="s">
        <v>199</v>
      </c>
      <c r="U13" s="3" t="s">
        <v>200</v>
      </c>
      <c r="V13">
        <v>7</v>
      </c>
      <c r="W13" t="s">
        <v>92</v>
      </c>
      <c r="X13">
        <v>8</v>
      </c>
      <c r="Y13" t="s">
        <v>92</v>
      </c>
      <c r="Z13">
        <v>4</v>
      </c>
      <c r="AA13" t="s">
        <v>92</v>
      </c>
      <c r="AB13" t="s">
        <v>201</v>
      </c>
      <c r="AC13" s="3" t="s">
        <v>78</v>
      </c>
      <c r="AD13" s="3">
        <v>5</v>
      </c>
      <c r="AE13">
        <v>4</v>
      </c>
      <c r="AF13" t="s">
        <v>92</v>
      </c>
      <c r="AG13" t="s">
        <v>694</v>
      </c>
      <c r="AH13" s="17" t="s">
        <v>695</v>
      </c>
      <c r="AI13" t="s">
        <v>698</v>
      </c>
      <c r="AJ13" s="18" t="s">
        <v>699</v>
      </c>
      <c r="AO13" s="3">
        <v>-0.14939499963554195</v>
      </c>
      <c r="AP13" s="3">
        <v>37</v>
      </c>
      <c r="AQ13" s="3">
        <f t="shared" si="0"/>
        <v>-5.5276149865150526</v>
      </c>
      <c r="BE13" s="3" t="s">
        <v>185</v>
      </c>
      <c r="BF13" s="3" t="s">
        <v>186</v>
      </c>
      <c r="BG13" s="3" t="s">
        <v>186</v>
      </c>
      <c r="BH13" s="3" t="s">
        <v>186</v>
      </c>
      <c r="BI13" s="3" t="s">
        <v>186</v>
      </c>
      <c r="BJ13" s="3" t="s">
        <v>186</v>
      </c>
      <c r="BK13" s="3" t="s">
        <v>186</v>
      </c>
      <c r="BL13" s="3" t="s">
        <v>186</v>
      </c>
      <c r="BM13" s="3" t="s">
        <v>186</v>
      </c>
      <c r="BN13" s="3" t="s">
        <v>186</v>
      </c>
      <c r="BO13" s="3" t="s">
        <v>186</v>
      </c>
      <c r="BP13" s="3" t="s">
        <v>186</v>
      </c>
      <c r="BQ13" s="3" t="s">
        <v>186</v>
      </c>
      <c r="BR13" s="3" t="s">
        <v>186</v>
      </c>
      <c r="BS13" s="3" t="s">
        <v>186</v>
      </c>
      <c r="BT13" s="3" t="s">
        <v>186</v>
      </c>
      <c r="BU13" s="3" t="s">
        <v>186</v>
      </c>
      <c r="BV13" s="3" t="s">
        <v>186</v>
      </c>
      <c r="BW13" s="3" t="s">
        <v>186</v>
      </c>
      <c r="BX13" s="21" t="s">
        <v>186</v>
      </c>
      <c r="BY13" s="3" t="s">
        <v>186</v>
      </c>
      <c r="BZ13" s="3" t="s">
        <v>186</v>
      </c>
      <c r="CA13" s="3" t="s">
        <v>186</v>
      </c>
      <c r="CB13" s="3" t="s">
        <v>186</v>
      </c>
      <c r="CC13" s="3" t="s">
        <v>186</v>
      </c>
      <c r="CD13" s="3" t="s">
        <v>186</v>
      </c>
      <c r="CE13" s="21" t="s">
        <v>186</v>
      </c>
      <c r="CF13" s="21" t="s">
        <v>186</v>
      </c>
      <c r="CG13" s="3" t="s">
        <v>186</v>
      </c>
      <c r="CH13" s="3" t="s">
        <v>186</v>
      </c>
      <c r="CI13" s="3" t="s">
        <v>186</v>
      </c>
      <c r="CJ13" s="3" t="s">
        <v>186</v>
      </c>
      <c r="CK13" s="3" t="s">
        <v>186</v>
      </c>
      <c r="CL13" s="3" t="s">
        <v>186</v>
      </c>
      <c r="CM13" s="32" t="str">
        <f t="shared" si="1"/>
        <v/>
      </c>
    </row>
    <row r="14" spans="1:92" x14ac:dyDescent="0.55000000000000004">
      <c r="A14" t="s">
        <v>216</v>
      </c>
      <c r="B14" t="s">
        <v>722</v>
      </c>
      <c r="C14" s="3">
        <v>1</v>
      </c>
      <c r="E14" t="s">
        <v>198</v>
      </c>
      <c r="F14">
        <v>4</v>
      </c>
      <c r="G14" t="s">
        <v>76</v>
      </c>
      <c r="H14" s="3">
        <v>4.5442611485930549</v>
      </c>
      <c r="I14" s="3" t="s">
        <v>74</v>
      </c>
      <c r="J14" s="3">
        <v>0.2</v>
      </c>
      <c r="K14" s="3">
        <v>7.25</v>
      </c>
      <c r="L14" s="3">
        <v>0.25</v>
      </c>
      <c r="O14" s="3">
        <v>100</v>
      </c>
      <c r="P14" s="3">
        <v>22.005777557691843</v>
      </c>
      <c r="R14" s="3">
        <v>10</v>
      </c>
      <c r="S14" s="4">
        <v>44945</v>
      </c>
      <c r="T14" s="3" t="s">
        <v>199</v>
      </c>
      <c r="U14" s="3" t="s">
        <v>200</v>
      </c>
      <c r="V14">
        <v>9</v>
      </c>
      <c r="W14" t="s">
        <v>76</v>
      </c>
      <c r="X14">
        <v>10</v>
      </c>
      <c r="Y14" t="s">
        <v>76</v>
      </c>
      <c r="Z14">
        <v>5</v>
      </c>
      <c r="AA14" t="s">
        <v>76</v>
      </c>
      <c r="AB14" t="s">
        <v>201</v>
      </c>
      <c r="AC14" s="3" t="s">
        <v>78</v>
      </c>
      <c r="AD14" s="3">
        <v>5</v>
      </c>
      <c r="AE14">
        <v>5</v>
      </c>
      <c r="AF14" t="s">
        <v>76</v>
      </c>
      <c r="AG14" t="s">
        <v>700</v>
      </c>
      <c r="AH14" s="17" t="s">
        <v>701</v>
      </c>
      <c r="AI14" t="s">
        <v>654</v>
      </c>
      <c r="AJ14" s="18" t="s">
        <v>655</v>
      </c>
      <c r="AO14" s="3">
        <v>-0.13006778919746337</v>
      </c>
      <c r="AP14" s="3">
        <v>37</v>
      </c>
      <c r="AQ14" s="3">
        <f t="shared" si="0"/>
        <v>-4.8125082003061443</v>
      </c>
      <c r="BE14" s="3" t="s">
        <v>185</v>
      </c>
      <c r="BF14" s="3" t="s">
        <v>186</v>
      </c>
      <c r="BG14" s="3" t="s">
        <v>186</v>
      </c>
      <c r="BH14" s="3" t="s">
        <v>186</v>
      </c>
      <c r="BI14" s="3" t="s">
        <v>186</v>
      </c>
      <c r="BJ14" s="3" t="s">
        <v>186</v>
      </c>
      <c r="BK14" s="3" t="s">
        <v>186</v>
      </c>
      <c r="BL14" s="3" t="s">
        <v>186</v>
      </c>
      <c r="BM14" s="3" t="s">
        <v>186</v>
      </c>
      <c r="BN14" s="3" t="s">
        <v>186</v>
      </c>
      <c r="BO14" s="3" t="s">
        <v>186</v>
      </c>
      <c r="BP14" s="3" t="s">
        <v>186</v>
      </c>
      <c r="BQ14" s="3" t="s">
        <v>186</v>
      </c>
      <c r="BR14" s="3" t="s">
        <v>186</v>
      </c>
      <c r="BS14" s="3" t="s">
        <v>186</v>
      </c>
      <c r="BT14" s="3" t="s">
        <v>186</v>
      </c>
      <c r="BU14" s="3" t="s">
        <v>186</v>
      </c>
      <c r="BV14" s="3" t="s">
        <v>186</v>
      </c>
      <c r="BW14" s="3" t="s">
        <v>186</v>
      </c>
      <c r="BX14" s="21" t="s">
        <v>186</v>
      </c>
      <c r="BY14" s="3" t="s">
        <v>186</v>
      </c>
      <c r="BZ14" s="3" t="s">
        <v>186</v>
      </c>
      <c r="CA14" s="3" t="s">
        <v>186</v>
      </c>
      <c r="CB14" s="3" t="s">
        <v>186</v>
      </c>
      <c r="CC14" s="3" t="s">
        <v>186</v>
      </c>
      <c r="CD14" s="3" t="s">
        <v>186</v>
      </c>
      <c r="CE14" s="21" t="s">
        <v>186</v>
      </c>
      <c r="CF14" s="21" t="s">
        <v>186</v>
      </c>
      <c r="CG14" s="3" t="s">
        <v>186</v>
      </c>
      <c r="CH14" s="3" t="s">
        <v>186</v>
      </c>
      <c r="CI14" s="3" t="s">
        <v>186</v>
      </c>
      <c r="CJ14" s="3" t="s">
        <v>186</v>
      </c>
      <c r="CK14" s="3" t="s">
        <v>186</v>
      </c>
      <c r="CL14" s="3" t="s">
        <v>186</v>
      </c>
      <c r="CM14" s="32" t="str">
        <f t="shared" si="1"/>
        <v/>
      </c>
    </row>
    <row r="15" spans="1:92" x14ac:dyDescent="0.55000000000000004">
      <c r="A15" t="s">
        <v>217</v>
      </c>
      <c r="B15" t="s">
        <v>723</v>
      </c>
      <c r="C15" s="3">
        <v>1</v>
      </c>
      <c r="E15" t="s">
        <v>198</v>
      </c>
      <c r="F15">
        <v>5</v>
      </c>
      <c r="G15" t="s">
        <v>76</v>
      </c>
      <c r="H15" s="3">
        <v>1.3738563435905875</v>
      </c>
      <c r="I15" s="3" t="s">
        <v>74</v>
      </c>
      <c r="J15" s="3">
        <v>0.2</v>
      </c>
      <c r="K15" s="3">
        <v>7.25</v>
      </c>
      <c r="L15" s="3">
        <v>0.25</v>
      </c>
      <c r="O15" s="3">
        <v>61.823535461576441</v>
      </c>
      <c r="P15" s="3">
        <v>45</v>
      </c>
      <c r="R15" s="3">
        <v>10</v>
      </c>
      <c r="S15" s="4">
        <v>44945</v>
      </c>
      <c r="T15" s="3" t="s">
        <v>199</v>
      </c>
      <c r="U15" s="3" t="s">
        <v>200</v>
      </c>
      <c r="V15">
        <v>9</v>
      </c>
      <c r="W15" t="s">
        <v>83</v>
      </c>
      <c r="X15">
        <v>10</v>
      </c>
      <c r="Y15" t="s">
        <v>83</v>
      </c>
      <c r="Z15">
        <v>5</v>
      </c>
      <c r="AA15" t="s">
        <v>83</v>
      </c>
      <c r="AB15" t="s">
        <v>201</v>
      </c>
      <c r="AC15" s="3" t="s">
        <v>78</v>
      </c>
      <c r="AD15" s="3">
        <v>5</v>
      </c>
      <c r="AE15">
        <v>5</v>
      </c>
      <c r="AF15" t="s">
        <v>83</v>
      </c>
      <c r="AG15" t="s">
        <v>682</v>
      </c>
      <c r="AH15" s="17" t="s">
        <v>683</v>
      </c>
      <c r="AI15" t="s">
        <v>654</v>
      </c>
      <c r="AJ15" s="18" t="s">
        <v>655</v>
      </c>
      <c r="AO15" s="3">
        <v>3.7458998469276181E-2</v>
      </c>
      <c r="AP15" s="3">
        <v>37</v>
      </c>
      <c r="AQ15" s="3">
        <f t="shared" si="0"/>
        <v>1.3859829433632187</v>
      </c>
      <c r="BE15" s="3" t="s">
        <v>185</v>
      </c>
      <c r="BF15" s="3" t="s">
        <v>186</v>
      </c>
      <c r="BG15" s="3" t="s">
        <v>186</v>
      </c>
      <c r="BH15" s="3" t="s">
        <v>186</v>
      </c>
      <c r="BI15" s="3" t="s">
        <v>186</v>
      </c>
      <c r="BJ15" s="3" t="s">
        <v>186</v>
      </c>
      <c r="BK15" s="3" t="s">
        <v>186</v>
      </c>
      <c r="BL15" s="3" t="s">
        <v>186</v>
      </c>
      <c r="BM15" s="3" t="s">
        <v>186</v>
      </c>
      <c r="BN15" s="3" t="s">
        <v>186</v>
      </c>
      <c r="BO15" s="3" t="s">
        <v>186</v>
      </c>
      <c r="BP15" s="3" t="s">
        <v>186</v>
      </c>
      <c r="BQ15" s="3" t="s">
        <v>186</v>
      </c>
      <c r="BR15" s="3" t="s">
        <v>186</v>
      </c>
      <c r="BS15" s="3" t="s">
        <v>186</v>
      </c>
      <c r="BT15" s="3" t="s">
        <v>186</v>
      </c>
      <c r="BU15" s="3" t="s">
        <v>186</v>
      </c>
      <c r="BV15" s="3" t="s">
        <v>186</v>
      </c>
      <c r="BW15" s="3" t="s">
        <v>186</v>
      </c>
      <c r="BX15" s="21" t="s">
        <v>186</v>
      </c>
      <c r="BY15" s="3" t="s">
        <v>186</v>
      </c>
      <c r="BZ15" s="3" t="s">
        <v>186</v>
      </c>
      <c r="CA15" s="3" t="s">
        <v>186</v>
      </c>
      <c r="CB15" s="3" t="s">
        <v>186</v>
      </c>
      <c r="CC15" s="3" t="s">
        <v>186</v>
      </c>
      <c r="CD15" s="3" t="s">
        <v>186</v>
      </c>
      <c r="CE15" s="21" t="s">
        <v>186</v>
      </c>
      <c r="CF15" s="21" t="s">
        <v>186</v>
      </c>
      <c r="CG15" s="3" t="s">
        <v>186</v>
      </c>
      <c r="CH15" s="3" t="s">
        <v>186</v>
      </c>
      <c r="CI15" s="3" t="s">
        <v>186</v>
      </c>
      <c r="CJ15" s="3" t="s">
        <v>186</v>
      </c>
      <c r="CK15" s="3" t="s">
        <v>186</v>
      </c>
      <c r="CL15" s="3" t="s">
        <v>186</v>
      </c>
      <c r="CM15" s="32" t="str">
        <f t="shared" si="1"/>
        <v/>
      </c>
    </row>
    <row r="16" spans="1:92" x14ac:dyDescent="0.55000000000000004">
      <c r="A16" t="s">
        <v>218</v>
      </c>
      <c r="B16" t="s">
        <v>724</v>
      </c>
      <c r="C16" s="3">
        <v>1</v>
      </c>
      <c r="E16" t="s">
        <v>198</v>
      </c>
      <c r="F16">
        <v>6</v>
      </c>
      <c r="G16" t="s">
        <v>76</v>
      </c>
      <c r="H16" s="3">
        <v>13.303077176238276</v>
      </c>
      <c r="I16" s="3" t="s">
        <v>74</v>
      </c>
      <c r="J16" s="3">
        <v>0.2</v>
      </c>
      <c r="K16" s="3">
        <v>7.25</v>
      </c>
      <c r="L16" s="3">
        <v>0.25</v>
      </c>
      <c r="O16" s="3">
        <v>100</v>
      </c>
      <c r="P16" s="3">
        <v>7.5170577961178981</v>
      </c>
      <c r="R16" s="3">
        <v>10</v>
      </c>
      <c r="S16" s="4">
        <v>44945</v>
      </c>
      <c r="T16" s="3" t="s">
        <v>199</v>
      </c>
      <c r="U16" s="3" t="s">
        <v>200</v>
      </c>
      <c r="V16">
        <v>9</v>
      </c>
      <c r="W16" t="s">
        <v>84</v>
      </c>
      <c r="X16">
        <v>10</v>
      </c>
      <c r="Y16" t="s">
        <v>84</v>
      </c>
      <c r="Z16">
        <v>5</v>
      </c>
      <c r="AA16" t="s">
        <v>84</v>
      </c>
      <c r="AB16" t="s">
        <v>201</v>
      </c>
      <c r="AC16" s="3" t="s">
        <v>78</v>
      </c>
      <c r="AD16" s="3">
        <v>5</v>
      </c>
      <c r="AE16">
        <v>5</v>
      </c>
      <c r="AF16" t="s">
        <v>84</v>
      </c>
      <c r="AG16" t="s">
        <v>686</v>
      </c>
      <c r="AH16" s="17" t="s">
        <v>687</v>
      </c>
      <c r="AI16" t="s">
        <v>654</v>
      </c>
      <c r="AJ16" s="18" t="s">
        <v>655</v>
      </c>
      <c r="AO16" s="3">
        <v>-6.5165099497047907E-2</v>
      </c>
      <c r="AP16" s="3">
        <v>37</v>
      </c>
      <c r="AQ16" s="3">
        <f t="shared" si="0"/>
        <v>-2.4111086813907727</v>
      </c>
      <c r="BE16" s="3" t="s">
        <v>185</v>
      </c>
      <c r="BF16" s="3" t="s">
        <v>186</v>
      </c>
      <c r="BG16" s="3" t="s">
        <v>186</v>
      </c>
      <c r="BH16" s="3" t="s">
        <v>186</v>
      </c>
      <c r="BI16" s="3" t="s">
        <v>186</v>
      </c>
      <c r="BJ16" s="3" t="s">
        <v>186</v>
      </c>
      <c r="BK16" s="3" t="s">
        <v>186</v>
      </c>
      <c r="BL16" s="3" t="s">
        <v>186</v>
      </c>
      <c r="BM16" s="3" t="s">
        <v>186</v>
      </c>
      <c r="BN16" s="3" t="s">
        <v>186</v>
      </c>
      <c r="BO16" s="3" t="s">
        <v>186</v>
      </c>
      <c r="BP16" s="3" t="s">
        <v>186</v>
      </c>
      <c r="BQ16" s="3" t="s">
        <v>186</v>
      </c>
      <c r="BR16" s="3" t="s">
        <v>186</v>
      </c>
      <c r="BS16" s="3" t="s">
        <v>186</v>
      </c>
      <c r="BT16" s="3" t="s">
        <v>186</v>
      </c>
      <c r="BU16" s="3" t="s">
        <v>186</v>
      </c>
      <c r="BV16" s="3" t="s">
        <v>186</v>
      </c>
      <c r="BW16" s="3" t="s">
        <v>186</v>
      </c>
      <c r="BX16" s="21" t="s">
        <v>186</v>
      </c>
      <c r="BY16" s="3" t="s">
        <v>186</v>
      </c>
      <c r="BZ16" s="3" t="s">
        <v>186</v>
      </c>
      <c r="CA16" s="3" t="s">
        <v>186</v>
      </c>
      <c r="CB16" s="3" t="s">
        <v>186</v>
      </c>
      <c r="CC16" s="3" t="s">
        <v>186</v>
      </c>
      <c r="CD16" s="3" t="s">
        <v>186</v>
      </c>
      <c r="CE16" s="21" t="s">
        <v>186</v>
      </c>
      <c r="CF16" s="21" t="s">
        <v>186</v>
      </c>
      <c r="CG16" s="3" t="s">
        <v>186</v>
      </c>
      <c r="CH16" s="3" t="s">
        <v>186</v>
      </c>
      <c r="CI16" s="3" t="s">
        <v>186</v>
      </c>
      <c r="CJ16" s="3" t="s">
        <v>186</v>
      </c>
      <c r="CK16" s="3" t="s">
        <v>186</v>
      </c>
      <c r="CL16" s="3" t="s">
        <v>186</v>
      </c>
      <c r="CM16" s="32" t="str">
        <f t="shared" si="1"/>
        <v/>
      </c>
    </row>
    <row r="17" spans="1:91" x14ac:dyDescent="0.55000000000000004">
      <c r="A17" t="s">
        <v>219</v>
      </c>
      <c r="B17" t="s">
        <v>725</v>
      </c>
      <c r="C17" s="3">
        <v>1</v>
      </c>
      <c r="E17" t="s">
        <v>198</v>
      </c>
      <c r="F17">
        <v>7</v>
      </c>
      <c r="G17" t="s">
        <v>76</v>
      </c>
      <c r="H17" s="3">
        <v>7.5436358400526569</v>
      </c>
      <c r="I17" s="3" t="s">
        <v>74</v>
      </c>
      <c r="J17" s="3">
        <v>0.2</v>
      </c>
      <c r="K17" s="3">
        <v>7.25</v>
      </c>
      <c r="L17" s="3">
        <v>0.25</v>
      </c>
      <c r="O17" s="3">
        <v>100</v>
      </c>
      <c r="P17" s="3">
        <v>13.256207234852679</v>
      </c>
      <c r="R17" s="3">
        <v>10</v>
      </c>
      <c r="S17" s="4">
        <v>44945</v>
      </c>
      <c r="T17" s="3" t="s">
        <v>199</v>
      </c>
      <c r="U17" s="3" t="s">
        <v>200</v>
      </c>
      <c r="V17">
        <v>9</v>
      </c>
      <c r="W17" t="s">
        <v>87</v>
      </c>
      <c r="X17">
        <v>10</v>
      </c>
      <c r="Y17" t="s">
        <v>87</v>
      </c>
      <c r="Z17">
        <v>5</v>
      </c>
      <c r="AA17" t="s">
        <v>87</v>
      </c>
      <c r="AB17" t="s">
        <v>201</v>
      </c>
      <c r="AC17" s="3" t="s">
        <v>78</v>
      </c>
      <c r="AD17" s="3">
        <v>5</v>
      </c>
      <c r="AE17">
        <v>5</v>
      </c>
      <c r="AF17" t="s">
        <v>87</v>
      </c>
      <c r="AG17" t="s">
        <v>688</v>
      </c>
      <c r="AH17" s="17" t="s">
        <v>689</v>
      </c>
      <c r="AI17" t="s">
        <v>654</v>
      </c>
      <c r="AJ17" s="18" t="s">
        <v>655</v>
      </c>
      <c r="AO17" s="3">
        <v>-0.13182083242218823</v>
      </c>
      <c r="AP17" s="3">
        <v>37</v>
      </c>
      <c r="AQ17" s="3">
        <f t="shared" si="0"/>
        <v>-4.8773707996209641</v>
      </c>
      <c r="BE17" s="3" t="s">
        <v>185</v>
      </c>
      <c r="BF17" s="3" t="s">
        <v>186</v>
      </c>
      <c r="BG17" s="3" t="s">
        <v>186</v>
      </c>
      <c r="BH17" s="3" t="s">
        <v>186</v>
      </c>
      <c r="BI17" s="3" t="s">
        <v>186</v>
      </c>
      <c r="BJ17" s="3" t="s">
        <v>186</v>
      </c>
      <c r="BK17" s="3" t="s">
        <v>186</v>
      </c>
      <c r="BL17" s="3" t="s">
        <v>186</v>
      </c>
      <c r="BM17" s="3" t="s">
        <v>186</v>
      </c>
      <c r="BN17" s="3" t="s">
        <v>186</v>
      </c>
      <c r="BO17" s="3" t="s">
        <v>186</v>
      </c>
      <c r="BP17" s="3" t="s">
        <v>186</v>
      </c>
      <c r="BQ17" s="3" t="s">
        <v>186</v>
      </c>
      <c r="BR17" s="3" t="s">
        <v>186</v>
      </c>
      <c r="BS17" s="3" t="s">
        <v>186</v>
      </c>
      <c r="BT17" s="3" t="s">
        <v>186</v>
      </c>
      <c r="BU17" s="3" t="s">
        <v>186</v>
      </c>
      <c r="BV17" s="3" t="s">
        <v>186</v>
      </c>
      <c r="BW17" s="3" t="s">
        <v>186</v>
      </c>
      <c r="BX17" s="21" t="s">
        <v>186</v>
      </c>
      <c r="BY17" s="3" t="s">
        <v>186</v>
      </c>
      <c r="BZ17" s="3" t="s">
        <v>186</v>
      </c>
      <c r="CA17" s="3" t="s">
        <v>186</v>
      </c>
      <c r="CB17" s="3" t="s">
        <v>186</v>
      </c>
      <c r="CC17" s="3" t="s">
        <v>186</v>
      </c>
      <c r="CD17" s="3" t="s">
        <v>186</v>
      </c>
      <c r="CE17" s="21" t="s">
        <v>186</v>
      </c>
      <c r="CF17" s="21" t="s">
        <v>186</v>
      </c>
      <c r="CG17" s="3" t="s">
        <v>186</v>
      </c>
      <c r="CH17" s="3" t="s">
        <v>186</v>
      </c>
      <c r="CI17" s="3" t="s">
        <v>186</v>
      </c>
      <c r="CJ17" s="3" t="s">
        <v>186</v>
      </c>
      <c r="CK17" s="3" t="s">
        <v>186</v>
      </c>
      <c r="CL17" s="3" t="s">
        <v>186</v>
      </c>
      <c r="CM17" s="32" t="str">
        <f t="shared" si="1"/>
        <v/>
      </c>
    </row>
    <row r="18" spans="1:91" x14ac:dyDescent="0.55000000000000004">
      <c r="A18" t="s">
        <v>220</v>
      </c>
      <c r="B18" t="s">
        <v>726</v>
      </c>
      <c r="C18" s="3">
        <v>1</v>
      </c>
      <c r="E18" t="s">
        <v>198</v>
      </c>
      <c r="F18">
        <v>8</v>
      </c>
      <c r="G18" t="s">
        <v>76</v>
      </c>
      <c r="H18" s="3">
        <v>7.6090217212440336</v>
      </c>
      <c r="I18" s="3" t="s">
        <v>74</v>
      </c>
      <c r="J18" s="3">
        <v>0.2</v>
      </c>
      <c r="K18" s="3">
        <v>7.25</v>
      </c>
      <c r="L18" s="3">
        <v>0.25</v>
      </c>
      <c r="O18" s="3">
        <v>100</v>
      </c>
      <c r="P18" s="3">
        <v>13.1422939325833</v>
      </c>
      <c r="R18" s="3">
        <v>10</v>
      </c>
      <c r="S18" s="4">
        <v>44945</v>
      </c>
      <c r="T18" s="3" t="s">
        <v>199</v>
      </c>
      <c r="U18" s="3" t="s">
        <v>200</v>
      </c>
      <c r="V18">
        <v>9</v>
      </c>
      <c r="W18" t="s">
        <v>88</v>
      </c>
      <c r="X18">
        <v>10</v>
      </c>
      <c r="Y18" t="s">
        <v>88</v>
      </c>
      <c r="Z18">
        <v>5</v>
      </c>
      <c r="AA18" t="s">
        <v>88</v>
      </c>
      <c r="AB18" t="s">
        <v>201</v>
      </c>
      <c r="AC18" s="3" t="s">
        <v>78</v>
      </c>
      <c r="AD18" s="3">
        <v>5</v>
      </c>
      <c r="AE18">
        <v>5</v>
      </c>
      <c r="AF18" t="s">
        <v>88</v>
      </c>
      <c r="AG18" t="s">
        <v>690</v>
      </c>
      <c r="AH18" s="17" t="s">
        <v>691</v>
      </c>
      <c r="AI18" t="s">
        <v>654</v>
      </c>
      <c r="AJ18" s="18" t="s">
        <v>655</v>
      </c>
      <c r="AO18" s="3">
        <v>-2.9561192506742464E-2</v>
      </c>
      <c r="AP18" s="3">
        <v>37</v>
      </c>
      <c r="AQ18" s="3">
        <f t="shared" si="0"/>
        <v>-1.0937641227494712</v>
      </c>
      <c r="BE18" s="3" t="s">
        <v>185</v>
      </c>
      <c r="BF18" s="3" t="s">
        <v>186</v>
      </c>
      <c r="BG18" s="3" t="s">
        <v>186</v>
      </c>
      <c r="BH18" s="3" t="s">
        <v>186</v>
      </c>
      <c r="BI18" s="3" t="s">
        <v>186</v>
      </c>
      <c r="BJ18" s="3" t="s">
        <v>186</v>
      </c>
      <c r="BK18" s="3" t="s">
        <v>186</v>
      </c>
      <c r="BL18" s="3" t="s">
        <v>186</v>
      </c>
      <c r="BM18" s="3" t="s">
        <v>186</v>
      </c>
      <c r="BN18" s="3" t="s">
        <v>186</v>
      </c>
      <c r="BO18" s="3" t="s">
        <v>186</v>
      </c>
      <c r="BP18" s="3" t="s">
        <v>186</v>
      </c>
      <c r="BQ18" s="3" t="s">
        <v>186</v>
      </c>
      <c r="BR18" s="3" t="s">
        <v>186</v>
      </c>
      <c r="BS18" s="3" t="s">
        <v>186</v>
      </c>
      <c r="BT18" s="3" t="s">
        <v>186</v>
      </c>
      <c r="BU18" s="3" t="s">
        <v>186</v>
      </c>
      <c r="BV18" s="3" t="s">
        <v>186</v>
      </c>
      <c r="BW18" s="3" t="s">
        <v>186</v>
      </c>
      <c r="BX18" s="21" t="s">
        <v>186</v>
      </c>
      <c r="BY18" s="3" t="s">
        <v>186</v>
      </c>
      <c r="BZ18" s="3" t="s">
        <v>186</v>
      </c>
      <c r="CA18" s="3" t="s">
        <v>186</v>
      </c>
      <c r="CB18" s="3" t="s">
        <v>186</v>
      </c>
      <c r="CC18" s="3" t="s">
        <v>186</v>
      </c>
      <c r="CD18" s="3" t="s">
        <v>186</v>
      </c>
      <c r="CE18" s="21" t="s">
        <v>186</v>
      </c>
      <c r="CF18" s="21" t="s">
        <v>186</v>
      </c>
      <c r="CG18" s="3" t="s">
        <v>186</v>
      </c>
      <c r="CH18" s="3" t="s">
        <v>186</v>
      </c>
      <c r="CI18" s="3" t="s">
        <v>186</v>
      </c>
      <c r="CJ18" s="3" t="s">
        <v>186</v>
      </c>
      <c r="CK18" s="3" t="s">
        <v>186</v>
      </c>
      <c r="CL18" s="3" t="s">
        <v>186</v>
      </c>
      <c r="CM18" s="32" t="str">
        <f t="shared" si="1"/>
        <v/>
      </c>
    </row>
    <row r="19" spans="1:91" x14ac:dyDescent="0.55000000000000004">
      <c r="A19" t="s">
        <v>221</v>
      </c>
      <c r="B19" t="s">
        <v>727</v>
      </c>
      <c r="C19" s="3">
        <v>1</v>
      </c>
      <c r="E19" t="s">
        <v>198</v>
      </c>
      <c r="F19">
        <v>9</v>
      </c>
      <c r="G19" t="s">
        <v>76</v>
      </c>
      <c r="H19" s="3">
        <v>6.0396782952114521</v>
      </c>
      <c r="I19" s="3" t="s">
        <v>74</v>
      </c>
      <c r="J19" s="3">
        <v>0.2</v>
      </c>
      <c r="K19" s="3">
        <v>7.25</v>
      </c>
      <c r="L19" s="3">
        <v>0.25</v>
      </c>
      <c r="O19" s="3">
        <v>100</v>
      </c>
      <c r="P19" s="3">
        <v>16.557173265219244</v>
      </c>
      <c r="R19" s="3">
        <v>10</v>
      </c>
      <c r="S19" s="4">
        <v>44945</v>
      </c>
      <c r="T19" s="3" t="s">
        <v>199</v>
      </c>
      <c r="U19" s="3" t="s">
        <v>200</v>
      </c>
      <c r="V19">
        <v>9</v>
      </c>
      <c r="W19" t="s">
        <v>91</v>
      </c>
      <c r="X19">
        <v>10</v>
      </c>
      <c r="Y19" t="s">
        <v>91</v>
      </c>
      <c r="Z19">
        <v>5</v>
      </c>
      <c r="AA19" t="s">
        <v>91</v>
      </c>
      <c r="AB19" t="s">
        <v>201</v>
      </c>
      <c r="AC19" s="3" t="s">
        <v>78</v>
      </c>
      <c r="AD19" s="3">
        <v>5</v>
      </c>
      <c r="AE19">
        <v>5</v>
      </c>
      <c r="AF19" t="s">
        <v>91</v>
      </c>
      <c r="AG19" t="s">
        <v>692</v>
      </c>
      <c r="AH19" s="17" t="s">
        <v>693</v>
      </c>
      <c r="AI19" t="s">
        <v>654</v>
      </c>
      <c r="AJ19" s="18" t="s">
        <v>655</v>
      </c>
      <c r="AO19" s="3">
        <v>-8.7524600918434281E-2</v>
      </c>
      <c r="AP19" s="3">
        <v>37</v>
      </c>
      <c r="AQ19" s="3">
        <f t="shared" si="0"/>
        <v>-3.2384102339820684</v>
      </c>
      <c r="BE19" s="3" t="s">
        <v>185</v>
      </c>
      <c r="BF19" s="3" t="s">
        <v>186</v>
      </c>
      <c r="BG19" s="3" t="s">
        <v>186</v>
      </c>
      <c r="BH19" s="3" t="s">
        <v>186</v>
      </c>
      <c r="BI19" s="3" t="s">
        <v>186</v>
      </c>
      <c r="BJ19" s="3" t="s">
        <v>186</v>
      </c>
      <c r="BK19" s="3" t="s">
        <v>186</v>
      </c>
      <c r="BL19" s="3" t="s">
        <v>186</v>
      </c>
      <c r="BM19" s="3" t="s">
        <v>186</v>
      </c>
      <c r="BN19" s="3" t="s">
        <v>186</v>
      </c>
      <c r="BO19" s="3" t="s">
        <v>186</v>
      </c>
      <c r="BP19" s="3" t="s">
        <v>186</v>
      </c>
      <c r="BQ19" s="3" t="s">
        <v>186</v>
      </c>
      <c r="BR19" s="3" t="s">
        <v>186</v>
      </c>
      <c r="BS19" s="3" t="s">
        <v>186</v>
      </c>
      <c r="BT19" s="3" t="s">
        <v>186</v>
      </c>
      <c r="BU19" s="3" t="s">
        <v>186</v>
      </c>
      <c r="BV19" s="3" t="s">
        <v>186</v>
      </c>
      <c r="BW19" s="3" t="s">
        <v>186</v>
      </c>
      <c r="BX19" s="21" t="s">
        <v>186</v>
      </c>
      <c r="BY19" s="3" t="s">
        <v>186</v>
      </c>
      <c r="BZ19" s="3" t="s">
        <v>186</v>
      </c>
      <c r="CA19" s="3" t="s">
        <v>186</v>
      </c>
      <c r="CB19" s="3" t="s">
        <v>186</v>
      </c>
      <c r="CC19" s="3" t="s">
        <v>186</v>
      </c>
      <c r="CD19" s="3" t="s">
        <v>186</v>
      </c>
      <c r="CE19" s="21" t="s">
        <v>186</v>
      </c>
      <c r="CF19" s="21" t="s">
        <v>186</v>
      </c>
      <c r="CG19" s="3" t="s">
        <v>186</v>
      </c>
      <c r="CH19" s="3" t="s">
        <v>186</v>
      </c>
      <c r="CI19" s="3" t="s">
        <v>186</v>
      </c>
      <c r="CJ19" s="3" t="s">
        <v>186</v>
      </c>
      <c r="CK19" s="3" t="s">
        <v>186</v>
      </c>
      <c r="CL19" s="3" t="s">
        <v>186</v>
      </c>
      <c r="CM19" s="32" t="str">
        <f t="shared" si="1"/>
        <v/>
      </c>
    </row>
    <row r="20" spans="1:91" x14ac:dyDescent="0.55000000000000004">
      <c r="A20" t="s">
        <v>222</v>
      </c>
      <c r="B20" t="s">
        <v>728</v>
      </c>
      <c r="C20" s="3">
        <v>1</v>
      </c>
      <c r="E20" t="s">
        <v>198</v>
      </c>
      <c r="F20">
        <v>10</v>
      </c>
      <c r="G20" t="s">
        <v>76</v>
      </c>
      <c r="H20" s="3">
        <v>0.78574954747408254</v>
      </c>
      <c r="I20" s="3" t="s">
        <v>74</v>
      </c>
      <c r="J20" s="3">
        <v>0.2</v>
      </c>
      <c r="K20" s="3">
        <v>7.25</v>
      </c>
      <c r="L20" s="3">
        <v>0.25</v>
      </c>
      <c r="O20" s="3">
        <v>35.358729636333713</v>
      </c>
      <c r="P20" s="3">
        <v>45</v>
      </c>
      <c r="R20" s="3">
        <v>10</v>
      </c>
      <c r="S20" s="4">
        <v>44945</v>
      </c>
      <c r="T20" s="3" t="s">
        <v>199</v>
      </c>
      <c r="U20" s="3" t="s">
        <v>200</v>
      </c>
      <c r="V20">
        <v>9</v>
      </c>
      <c r="W20" t="s">
        <v>92</v>
      </c>
      <c r="X20">
        <v>10</v>
      </c>
      <c r="Y20" t="s">
        <v>92</v>
      </c>
      <c r="Z20">
        <v>5</v>
      </c>
      <c r="AA20" t="s">
        <v>92</v>
      </c>
      <c r="AB20" t="s">
        <v>201</v>
      </c>
      <c r="AC20" s="3" t="s">
        <v>78</v>
      </c>
      <c r="AD20" s="3">
        <v>5</v>
      </c>
      <c r="AE20">
        <v>5</v>
      </c>
      <c r="AF20" t="s">
        <v>92</v>
      </c>
      <c r="AG20" t="s">
        <v>694</v>
      </c>
      <c r="AH20" s="17" t="s">
        <v>695</v>
      </c>
      <c r="AI20" t="s">
        <v>654</v>
      </c>
      <c r="AJ20" s="18" t="s">
        <v>655</v>
      </c>
      <c r="AO20" s="3">
        <v>-0.15063051242801956</v>
      </c>
      <c r="AP20" s="3">
        <v>37</v>
      </c>
      <c r="AQ20" s="3">
        <f t="shared" si="0"/>
        <v>-5.5733289598367239</v>
      </c>
      <c r="BE20" s="3" t="s">
        <v>185</v>
      </c>
      <c r="BF20" s="3" t="s">
        <v>186</v>
      </c>
      <c r="BG20" s="3" t="s">
        <v>186</v>
      </c>
      <c r="BH20" s="3" t="s">
        <v>186</v>
      </c>
      <c r="BI20" s="3" t="s">
        <v>186</v>
      </c>
      <c r="BJ20" s="3" t="s">
        <v>186</v>
      </c>
      <c r="BK20" s="3" t="s">
        <v>186</v>
      </c>
      <c r="BL20" s="3" t="s">
        <v>186</v>
      </c>
      <c r="BM20" s="3" t="s">
        <v>186</v>
      </c>
      <c r="BN20" s="3" t="s">
        <v>186</v>
      </c>
      <c r="BO20" s="3" t="s">
        <v>186</v>
      </c>
      <c r="BP20" s="3" t="s">
        <v>186</v>
      </c>
      <c r="BQ20" s="3" t="s">
        <v>186</v>
      </c>
      <c r="BR20" s="3" t="s">
        <v>186</v>
      </c>
      <c r="BS20" s="3" t="s">
        <v>186</v>
      </c>
      <c r="BT20" s="3" t="s">
        <v>186</v>
      </c>
      <c r="BU20" s="3" t="s">
        <v>186</v>
      </c>
      <c r="BV20" s="3" t="s">
        <v>186</v>
      </c>
      <c r="BW20" s="3" t="s">
        <v>186</v>
      </c>
      <c r="BX20" s="21" t="s">
        <v>186</v>
      </c>
      <c r="BY20" s="3" t="s">
        <v>186</v>
      </c>
      <c r="BZ20" s="3" t="s">
        <v>186</v>
      </c>
      <c r="CA20" s="3" t="s">
        <v>186</v>
      </c>
      <c r="CB20" s="3" t="s">
        <v>186</v>
      </c>
      <c r="CC20" s="3" t="s">
        <v>186</v>
      </c>
      <c r="CD20" s="3" t="s">
        <v>186</v>
      </c>
      <c r="CE20" s="21" t="s">
        <v>186</v>
      </c>
      <c r="CF20" s="21" t="s">
        <v>186</v>
      </c>
      <c r="CG20" s="3" t="s">
        <v>186</v>
      </c>
      <c r="CH20" s="3" t="s">
        <v>186</v>
      </c>
      <c r="CI20" s="3" t="s">
        <v>186</v>
      </c>
      <c r="CJ20" s="3" t="s">
        <v>186</v>
      </c>
      <c r="CK20" s="3" t="s">
        <v>186</v>
      </c>
      <c r="CL20" s="3" t="s">
        <v>186</v>
      </c>
      <c r="CM20" s="32" t="str">
        <f t="shared" si="1"/>
        <v/>
      </c>
    </row>
    <row r="21" spans="1:91" x14ac:dyDescent="0.55000000000000004">
      <c r="A21" t="s">
        <v>223</v>
      </c>
      <c r="B21" t="s">
        <v>729</v>
      </c>
      <c r="C21" s="3">
        <v>1</v>
      </c>
      <c r="E21" t="s">
        <v>198</v>
      </c>
      <c r="F21">
        <v>11</v>
      </c>
      <c r="G21" t="s">
        <v>76</v>
      </c>
      <c r="H21" s="3">
        <v>5.5717664966266245</v>
      </c>
      <c r="I21" s="3" t="s">
        <v>74</v>
      </c>
      <c r="J21" s="3">
        <v>0.2</v>
      </c>
      <c r="K21" s="3">
        <v>7.25</v>
      </c>
      <c r="L21" s="3">
        <v>0.25</v>
      </c>
      <c r="O21" s="3">
        <v>100</v>
      </c>
      <c r="P21" s="3">
        <v>17.947629366834395</v>
      </c>
      <c r="R21" s="3">
        <v>10</v>
      </c>
      <c r="S21" s="4">
        <v>44945</v>
      </c>
      <c r="T21" s="3" t="s">
        <v>199</v>
      </c>
      <c r="U21" s="3" t="s">
        <v>200</v>
      </c>
      <c r="V21">
        <v>11</v>
      </c>
      <c r="W21" t="s">
        <v>73</v>
      </c>
      <c r="X21">
        <v>12</v>
      </c>
      <c r="Y21" t="s">
        <v>73</v>
      </c>
      <c r="Z21">
        <v>6</v>
      </c>
      <c r="AA21" t="s">
        <v>73</v>
      </c>
      <c r="AB21" t="s">
        <v>201</v>
      </c>
      <c r="AC21" s="3" t="s">
        <v>78</v>
      </c>
      <c r="AD21" s="3">
        <v>5</v>
      </c>
      <c r="AE21">
        <v>6</v>
      </c>
      <c r="AF21" t="s">
        <v>73</v>
      </c>
      <c r="AG21" t="s">
        <v>696</v>
      </c>
      <c r="AH21" s="17" t="s">
        <v>697</v>
      </c>
      <c r="AI21" t="s">
        <v>670</v>
      </c>
      <c r="AJ21" s="18" t="s">
        <v>671</v>
      </c>
      <c r="AO21" s="3">
        <v>1.6987389751439614E-2</v>
      </c>
      <c r="AP21" s="3">
        <v>37</v>
      </c>
      <c r="AQ21" s="3">
        <f t="shared" si="0"/>
        <v>0.62853342080326569</v>
      </c>
      <c r="BE21" s="3" t="s">
        <v>185</v>
      </c>
      <c r="BF21" s="3" t="s">
        <v>186</v>
      </c>
      <c r="BG21" s="3" t="s">
        <v>186</v>
      </c>
      <c r="BH21" s="3" t="s">
        <v>186</v>
      </c>
      <c r="BI21" s="3" t="s">
        <v>186</v>
      </c>
      <c r="BJ21" s="3" t="s">
        <v>186</v>
      </c>
      <c r="BK21" s="3" t="s">
        <v>186</v>
      </c>
      <c r="BL21" s="3" t="s">
        <v>186</v>
      </c>
      <c r="BM21" s="3" t="s">
        <v>186</v>
      </c>
      <c r="BN21" s="3" t="s">
        <v>186</v>
      </c>
      <c r="BO21" s="3" t="s">
        <v>186</v>
      </c>
      <c r="BP21" s="3" t="s">
        <v>186</v>
      </c>
      <c r="BQ21" s="3" t="s">
        <v>186</v>
      </c>
      <c r="BR21" s="3" t="s">
        <v>186</v>
      </c>
      <c r="BS21" s="3" t="s">
        <v>186</v>
      </c>
      <c r="BT21" s="3" t="s">
        <v>186</v>
      </c>
      <c r="BU21" s="3" t="s">
        <v>186</v>
      </c>
      <c r="BV21" s="3" t="s">
        <v>186</v>
      </c>
      <c r="BW21" s="3" t="s">
        <v>186</v>
      </c>
      <c r="BX21" s="21" t="s">
        <v>186</v>
      </c>
      <c r="BY21" s="3" t="s">
        <v>186</v>
      </c>
      <c r="BZ21" s="3" t="s">
        <v>186</v>
      </c>
      <c r="CA21" s="3" t="s">
        <v>186</v>
      </c>
      <c r="CB21" s="3" t="s">
        <v>186</v>
      </c>
      <c r="CC21" s="3" t="s">
        <v>186</v>
      </c>
      <c r="CD21" s="3" t="s">
        <v>186</v>
      </c>
      <c r="CE21" s="21" t="s">
        <v>186</v>
      </c>
      <c r="CF21" s="21" t="s">
        <v>186</v>
      </c>
      <c r="CG21" s="3" t="s">
        <v>186</v>
      </c>
      <c r="CH21" s="3" t="s">
        <v>186</v>
      </c>
      <c r="CI21" s="3" t="s">
        <v>186</v>
      </c>
      <c r="CJ21" s="3" t="s">
        <v>186</v>
      </c>
      <c r="CK21" s="3" t="s">
        <v>186</v>
      </c>
      <c r="CL21" s="3" t="s">
        <v>186</v>
      </c>
      <c r="CM21" s="32" t="str">
        <f t="shared" si="1"/>
        <v/>
      </c>
    </row>
    <row r="22" spans="1:91" x14ac:dyDescent="0.55000000000000004">
      <c r="A22" t="s">
        <v>224</v>
      </c>
      <c r="B22" t="s">
        <v>730</v>
      </c>
      <c r="C22" s="3">
        <v>1</v>
      </c>
      <c r="E22" t="s">
        <v>198</v>
      </c>
      <c r="F22">
        <v>12</v>
      </c>
      <c r="G22" t="s">
        <v>76</v>
      </c>
      <c r="H22" s="3">
        <v>0.62175004113871979</v>
      </c>
      <c r="I22" s="3" t="s">
        <v>74</v>
      </c>
      <c r="J22" s="3">
        <v>0.2</v>
      </c>
      <c r="K22" s="3">
        <v>7.25</v>
      </c>
      <c r="L22" s="3">
        <v>0.25</v>
      </c>
      <c r="O22" s="3">
        <v>27.978751851242389</v>
      </c>
      <c r="P22" s="3">
        <v>45</v>
      </c>
      <c r="R22" s="3">
        <v>10</v>
      </c>
      <c r="S22" s="4">
        <v>44945</v>
      </c>
      <c r="T22" s="3" t="s">
        <v>199</v>
      </c>
      <c r="U22" s="3" t="s">
        <v>200</v>
      </c>
      <c r="V22">
        <v>11</v>
      </c>
      <c r="W22" t="s">
        <v>76</v>
      </c>
      <c r="X22">
        <v>12</v>
      </c>
      <c r="Y22" t="s">
        <v>76</v>
      </c>
      <c r="Z22">
        <v>6</v>
      </c>
      <c r="AA22" t="s">
        <v>76</v>
      </c>
      <c r="AB22" t="s">
        <v>201</v>
      </c>
      <c r="AC22" s="3" t="s">
        <v>78</v>
      </c>
      <c r="AD22" s="3">
        <v>5</v>
      </c>
      <c r="AE22">
        <v>6</v>
      </c>
      <c r="AF22" t="s">
        <v>76</v>
      </c>
      <c r="AG22" t="s">
        <v>700</v>
      </c>
      <c r="AH22" s="17" t="s">
        <v>701</v>
      </c>
      <c r="AI22" t="s">
        <v>670</v>
      </c>
      <c r="AJ22" s="18" t="s">
        <v>671</v>
      </c>
      <c r="AO22" s="3">
        <v>0.10343683941978277</v>
      </c>
      <c r="AP22" s="3">
        <v>37</v>
      </c>
      <c r="AQ22" s="3">
        <f t="shared" si="0"/>
        <v>3.8271630585319625</v>
      </c>
      <c r="BE22" s="3" t="s">
        <v>185</v>
      </c>
      <c r="BF22" s="3" t="s">
        <v>186</v>
      </c>
      <c r="BG22" s="3" t="s">
        <v>186</v>
      </c>
      <c r="BH22" s="3" t="s">
        <v>186</v>
      </c>
      <c r="BI22" s="3" t="s">
        <v>186</v>
      </c>
      <c r="BJ22" s="3" t="s">
        <v>186</v>
      </c>
      <c r="BK22" s="3" t="s">
        <v>186</v>
      </c>
      <c r="BL22" s="3" t="s">
        <v>186</v>
      </c>
      <c r="BM22" s="3" t="s">
        <v>186</v>
      </c>
      <c r="BN22" s="3" t="s">
        <v>186</v>
      </c>
      <c r="BO22" s="3" t="s">
        <v>186</v>
      </c>
      <c r="BP22" s="3" t="s">
        <v>186</v>
      </c>
      <c r="BQ22" s="3" t="s">
        <v>186</v>
      </c>
      <c r="BR22" s="3" t="s">
        <v>186</v>
      </c>
      <c r="BS22" s="3" t="s">
        <v>186</v>
      </c>
      <c r="BT22" s="3" t="s">
        <v>186</v>
      </c>
      <c r="BU22" s="3" t="s">
        <v>186</v>
      </c>
      <c r="BV22" s="3" t="s">
        <v>186</v>
      </c>
      <c r="BW22" s="3" t="s">
        <v>186</v>
      </c>
      <c r="BX22" s="21" t="s">
        <v>186</v>
      </c>
      <c r="BY22" s="3" t="s">
        <v>186</v>
      </c>
      <c r="BZ22" s="3" t="s">
        <v>186</v>
      </c>
      <c r="CA22" s="3" t="s">
        <v>186</v>
      </c>
      <c r="CB22" s="3" t="s">
        <v>186</v>
      </c>
      <c r="CC22" s="3" t="s">
        <v>186</v>
      </c>
      <c r="CD22" s="3" t="s">
        <v>186</v>
      </c>
      <c r="CE22" s="21" t="s">
        <v>186</v>
      </c>
      <c r="CF22" s="21" t="s">
        <v>186</v>
      </c>
      <c r="CG22" s="3" t="s">
        <v>186</v>
      </c>
      <c r="CH22" s="3" t="s">
        <v>186</v>
      </c>
      <c r="CI22" s="3" t="s">
        <v>186</v>
      </c>
      <c r="CJ22" s="3" t="s">
        <v>186</v>
      </c>
      <c r="CK22" s="3" t="s">
        <v>186</v>
      </c>
      <c r="CL22" s="3" t="s">
        <v>186</v>
      </c>
      <c r="CM22" s="32" t="str">
        <f t="shared" si="1"/>
        <v/>
      </c>
    </row>
    <row r="23" spans="1:91" x14ac:dyDescent="0.55000000000000004">
      <c r="A23" t="s">
        <v>225</v>
      </c>
      <c r="B23" t="s">
        <v>731</v>
      </c>
      <c r="C23" s="3">
        <v>1</v>
      </c>
      <c r="E23" t="s">
        <v>198</v>
      </c>
      <c r="F23">
        <v>1</v>
      </c>
      <c r="G23" t="s">
        <v>83</v>
      </c>
      <c r="H23" s="3">
        <v>7.3466883330590749</v>
      </c>
      <c r="I23" s="3" t="s">
        <v>74</v>
      </c>
      <c r="J23" s="3">
        <v>0.2</v>
      </c>
      <c r="K23" s="3">
        <v>7.25</v>
      </c>
      <c r="L23" s="3">
        <v>0.25</v>
      </c>
      <c r="O23" s="3">
        <v>100</v>
      </c>
      <c r="P23" s="3">
        <v>13.611575102487187</v>
      </c>
      <c r="R23" s="3">
        <v>10</v>
      </c>
      <c r="S23" s="4">
        <v>44945</v>
      </c>
      <c r="T23" s="3" t="s">
        <v>199</v>
      </c>
      <c r="U23" s="3" t="s">
        <v>200</v>
      </c>
      <c r="V23">
        <v>11</v>
      </c>
      <c r="W23" t="s">
        <v>83</v>
      </c>
      <c r="X23">
        <v>12</v>
      </c>
      <c r="Y23" t="s">
        <v>83</v>
      </c>
      <c r="Z23">
        <v>6</v>
      </c>
      <c r="AA23" t="s">
        <v>83</v>
      </c>
      <c r="AB23" t="s">
        <v>201</v>
      </c>
      <c r="AC23" s="3" t="s">
        <v>78</v>
      </c>
      <c r="AD23" s="3">
        <v>5</v>
      </c>
      <c r="AE23">
        <v>6</v>
      </c>
      <c r="AF23" t="s">
        <v>83</v>
      </c>
      <c r="AG23" t="s">
        <v>682</v>
      </c>
      <c r="AH23" s="17" t="s">
        <v>683</v>
      </c>
      <c r="AI23" t="s">
        <v>670</v>
      </c>
      <c r="AJ23" s="18" t="s">
        <v>671</v>
      </c>
      <c r="AO23" s="3">
        <v>-1.4246665208834487E-2</v>
      </c>
      <c r="AP23" s="3">
        <v>37</v>
      </c>
      <c r="AQ23" s="3">
        <f t="shared" si="0"/>
        <v>-0.527126612726876</v>
      </c>
      <c r="BE23" s="3" t="s">
        <v>185</v>
      </c>
      <c r="BF23" s="3" t="s">
        <v>186</v>
      </c>
      <c r="BG23" s="3" t="s">
        <v>186</v>
      </c>
      <c r="BH23" s="3" t="s">
        <v>186</v>
      </c>
      <c r="BI23" s="3" t="s">
        <v>186</v>
      </c>
      <c r="BJ23" s="3" t="s">
        <v>186</v>
      </c>
      <c r="BK23" s="3" t="s">
        <v>186</v>
      </c>
      <c r="BL23" s="3" t="s">
        <v>186</v>
      </c>
      <c r="BM23" s="3" t="s">
        <v>186</v>
      </c>
      <c r="BN23" s="3" t="s">
        <v>186</v>
      </c>
      <c r="BO23" s="3" t="s">
        <v>186</v>
      </c>
      <c r="BP23" s="3" t="s">
        <v>186</v>
      </c>
      <c r="BQ23" s="3" t="s">
        <v>186</v>
      </c>
      <c r="BR23" s="3" t="s">
        <v>186</v>
      </c>
      <c r="BS23" s="3" t="s">
        <v>186</v>
      </c>
      <c r="BT23" s="3" t="s">
        <v>186</v>
      </c>
      <c r="BU23" s="3" t="s">
        <v>186</v>
      </c>
      <c r="BV23" s="3" t="s">
        <v>186</v>
      </c>
      <c r="BW23" s="3" t="s">
        <v>186</v>
      </c>
      <c r="BX23" s="21" t="s">
        <v>186</v>
      </c>
      <c r="BY23" s="3" t="s">
        <v>186</v>
      </c>
      <c r="BZ23" s="3" t="s">
        <v>186</v>
      </c>
      <c r="CA23" s="3" t="s">
        <v>186</v>
      </c>
      <c r="CB23" s="3" t="s">
        <v>186</v>
      </c>
      <c r="CC23" s="3" t="s">
        <v>186</v>
      </c>
      <c r="CD23" s="3" t="s">
        <v>186</v>
      </c>
      <c r="CE23" s="21" t="s">
        <v>186</v>
      </c>
      <c r="CF23" s="21" t="s">
        <v>186</v>
      </c>
      <c r="CG23" s="3" t="s">
        <v>186</v>
      </c>
      <c r="CH23" s="3" t="s">
        <v>186</v>
      </c>
      <c r="CI23" s="3" t="s">
        <v>186</v>
      </c>
      <c r="CJ23" s="3" t="s">
        <v>186</v>
      </c>
      <c r="CK23" s="3" t="s">
        <v>186</v>
      </c>
      <c r="CL23" s="3" t="s">
        <v>186</v>
      </c>
      <c r="CM23" s="32" t="str">
        <f t="shared" si="1"/>
        <v/>
      </c>
    </row>
    <row r="24" spans="1:91" x14ac:dyDescent="0.55000000000000004">
      <c r="A24" t="s">
        <v>226</v>
      </c>
      <c r="B24" t="s">
        <v>732</v>
      </c>
      <c r="C24" s="3">
        <v>1</v>
      </c>
      <c r="E24" t="s">
        <v>198</v>
      </c>
      <c r="F24">
        <v>2</v>
      </c>
      <c r="G24" t="s">
        <v>83</v>
      </c>
      <c r="H24" s="3">
        <v>9.4454507756211434</v>
      </c>
      <c r="I24" s="3" t="s">
        <v>74</v>
      </c>
      <c r="J24" s="3">
        <v>0.2</v>
      </c>
      <c r="K24" s="3">
        <v>7.25</v>
      </c>
      <c r="L24" s="3">
        <v>0.25</v>
      </c>
      <c r="O24" s="3">
        <v>100</v>
      </c>
      <c r="P24" s="3">
        <v>10.587107209123525</v>
      </c>
      <c r="R24" s="3">
        <v>10</v>
      </c>
      <c r="S24" s="4">
        <v>44945</v>
      </c>
      <c r="T24" s="3" t="s">
        <v>199</v>
      </c>
      <c r="U24" s="3" t="s">
        <v>200</v>
      </c>
      <c r="V24">
        <v>11</v>
      </c>
      <c r="W24" t="s">
        <v>84</v>
      </c>
      <c r="X24">
        <v>12</v>
      </c>
      <c r="Y24" t="s">
        <v>84</v>
      </c>
      <c r="Z24">
        <v>6</v>
      </c>
      <c r="AA24" t="s">
        <v>84</v>
      </c>
      <c r="AB24" t="s">
        <v>201</v>
      </c>
      <c r="AC24" s="3" t="s">
        <v>78</v>
      </c>
      <c r="AD24" s="3">
        <v>5</v>
      </c>
      <c r="AE24">
        <v>6</v>
      </c>
      <c r="AF24" t="s">
        <v>84</v>
      </c>
      <c r="AG24" t="s">
        <v>686</v>
      </c>
      <c r="AH24" s="17" t="s">
        <v>687</v>
      </c>
      <c r="AI24" t="s">
        <v>670</v>
      </c>
      <c r="AJ24" s="18" t="s">
        <v>671</v>
      </c>
      <c r="AO24" s="3">
        <v>3.3209417596034678E-2</v>
      </c>
      <c r="AP24" s="3">
        <v>37</v>
      </c>
      <c r="AQ24" s="3">
        <f t="shared" si="0"/>
        <v>1.2287484510532831</v>
      </c>
      <c r="BE24" s="3" t="s">
        <v>185</v>
      </c>
      <c r="BF24" s="3" t="s">
        <v>186</v>
      </c>
      <c r="BG24" s="3" t="s">
        <v>186</v>
      </c>
      <c r="BH24" s="3" t="s">
        <v>186</v>
      </c>
      <c r="BI24" s="3" t="s">
        <v>186</v>
      </c>
      <c r="BJ24" s="3" t="s">
        <v>186</v>
      </c>
      <c r="BK24" s="3" t="s">
        <v>186</v>
      </c>
      <c r="BL24" s="3" t="s">
        <v>186</v>
      </c>
      <c r="BM24" s="3" t="s">
        <v>186</v>
      </c>
      <c r="BN24" s="3" t="s">
        <v>186</v>
      </c>
      <c r="BO24" s="3" t="s">
        <v>186</v>
      </c>
      <c r="BP24" s="3" t="s">
        <v>186</v>
      </c>
      <c r="BQ24" s="3" t="s">
        <v>186</v>
      </c>
      <c r="BR24" s="3" t="s">
        <v>186</v>
      </c>
      <c r="BS24" s="3" t="s">
        <v>186</v>
      </c>
      <c r="BT24" s="3" t="s">
        <v>186</v>
      </c>
      <c r="BU24" s="3" t="s">
        <v>186</v>
      </c>
      <c r="BV24" s="3" t="s">
        <v>186</v>
      </c>
      <c r="BW24" s="3" t="s">
        <v>186</v>
      </c>
      <c r="BX24" s="21" t="s">
        <v>186</v>
      </c>
      <c r="BY24" s="3" t="s">
        <v>186</v>
      </c>
      <c r="BZ24" s="3" t="s">
        <v>186</v>
      </c>
      <c r="CA24" s="3" t="s">
        <v>186</v>
      </c>
      <c r="CB24" s="3" t="s">
        <v>186</v>
      </c>
      <c r="CC24" s="3" t="s">
        <v>186</v>
      </c>
      <c r="CD24" s="3" t="s">
        <v>186</v>
      </c>
      <c r="CE24" s="21" t="s">
        <v>186</v>
      </c>
      <c r="CF24" s="21" t="s">
        <v>186</v>
      </c>
      <c r="CG24" s="3" t="s">
        <v>186</v>
      </c>
      <c r="CH24" s="3" t="s">
        <v>186</v>
      </c>
      <c r="CI24" s="3" t="s">
        <v>186</v>
      </c>
      <c r="CJ24" s="3" t="s">
        <v>186</v>
      </c>
      <c r="CK24" s="3" t="s">
        <v>186</v>
      </c>
      <c r="CL24" s="3" t="s">
        <v>186</v>
      </c>
      <c r="CM24" s="32" t="str">
        <f t="shared" si="1"/>
        <v/>
      </c>
    </row>
    <row r="25" spans="1:91" x14ac:dyDescent="0.55000000000000004">
      <c r="A25" t="s">
        <v>227</v>
      </c>
      <c r="B25" t="s">
        <v>733</v>
      </c>
      <c r="C25" s="3">
        <v>1</v>
      </c>
      <c r="E25" t="s">
        <v>198</v>
      </c>
      <c r="F25">
        <v>3</v>
      </c>
      <c r="G25" t="s">
        <v>83</v>
      </c>
      <c r="H25" s="3">
        <v>6.8598527233832485</v>
      </c>
      <c r="I25" s="3" t="s">
        <v>74</v>
      </c>
      <c r="J25" s="3">
        <v>0.2</v>
      </c>
      <c r="K25" s="3">
        <v>7.25</v>
      </c>
      <c r="L25" s="3">
        <v>0.25</v>
      </c>
      <c r="O25" s="3">
        <v>100</v>
      </c>
      <c r="P25" s="3">
        <v>14.577572439584454</v>
      </c>
      <c r="R25" s="3">
        <v>10</v>
      </c>
      <c r="S25" s="4">
        <v>44945</v>
      </c>
      <c r="T25" s="3" t="s">
        <v>199</v>
      </c>
      <c r="U25" s="3" t="s">
        <v>200</v>
      </c>
      <c r="V25">
        <v>11</v>
      </c>
      <c r="W25" t="s">
        <v>87</v>
      </c>
      <c r="X25">
        <v>12</v>
      </c>
      <c r="Y25" t="s">
        <v>87</v>
      </c>
      <c r="Z25">
        <v>6</v>
      </c>
      <c r="AA25" t="s">
        <v>87</v>
      </c>
      <c r="AB25" t="s">
        <v>201</v>
      </c>
      <c r="AC25" s="3" t="s">
        <v>78</v>
      </c>
      <c r="AD25" s="3">
        <v>5</v>
      </c>
      <c r="AE25">
        <v>6</v>
      </c>
      <c r="AF25" t="s">
        <v>87</v>
      </c>
      <c r="AG25" t="s">
        <v>688</v>
      </c>
      <c r="AH25" s="17" t="s">
        <v>689</v>
      </c>
      <c r="AI25" t="s">
        <v>670</v>
      </c>
      <c r="AJ25" s="18" t="s">
        <v>671</v>
      </c>
      <c r="AO25" s="3">
        <v>-2.3154019972301196E-2</v>
      </c>
      <c r="AP25" s="3">
        <v>37</v>
      </c>
      <c r="AQ25" s="3">
        <f t="shared" si="0"/>
        <v>-0.85669873897514426</v>
      </c>
      <c r="BE25" s="3" t="s">
        <v>185</v>
      </c>
      <c r="BF25" s="3" t="s">
        <v>186</v>
      </c>
      <c r="BG25" s="3" t="s">
        <v>186</v>
      </c>
      <c r="BH25" s="3" t="s">
        <v>186</v>
      </c>
      <c r="BI25" s="3" t="s">
        <v>186</v>
      </c>
      <c r="BJ25" s="3" t="s">
        <v>186</v>
      </c>
      <c r="BK25" s="3" t="s">
        <v>186</v>
      </c>
      <c r="BL25" s="3" t="s">
        <v>186</v>
      </c>
      <c r="BM25" s="3" t="s">
        <v>186</v>
      </c>
      <c r="BN25" s="3" t="s">
        <v>186</v>
      </c>
      <c r="BO25" s="3" t="s">
        <v>186</v>
      </c>
      <c r="BP25" s="3" t="s">
        <v>186</v>
      </c>
      <c r="BQ25" s="3" t="s">
        <v>186</v>
      </c>
      <c r="BR25" s="3" t="s">
        <v>186</v>
      </c>
      <c r="BS25" s="3" t="s">
        <v>186</v>
      </c>
      <c r="BT25" s="3" t="s">
        <v>186</v>
      </c>
      <c r="BU25" s="3" t="s">
        <v>186</v>
      </c>
      <c r="BV25" s="3" t="s">
        <v>186</v>
      </c>
      <c r="BW25" s="3" t="s">
        <v>186</v>
      </c>
      <c r="BX25" s="21" t="s">
        <v>186</v>
      </c>
      <c r="BY25" s="3" t="s">
        <v>186</v>
      </c>
      <c r="BZ25" s="3" t="s">
        <v>186</v>
      </c>
      <c r="CA25" s="3" t="s">
        <v>186</v>
      </c>
      <c r="CB25" s="3" t="s">
        <v>186</v>
      </c>
      <c r="CC25" s="3" t="s">
        <v>186</v>
      </c>
      <c r="CD25" s="3" t="s">
        <v>186</v>
      </c>
      <c r="CE25" s="21" t="s">
        <v>186</v>
      </c>
      <c r="CF25" s="21" t="s">
        <v>186</v>
      </c>
      <c r="CG25" s="3" t="s">
        <v>186</v>
      </c>
      <c r="CH25" s="3" t="s">
        <v>186</v>
      </c>
      <c r="CI25" s="3" t="s">
        <v>186</v>
      </c>
      <c r="CJ25" s="3" t="s">
        <v>186</v>
      </c>
      <c r="CK25" s="3" t="s">
        <v>186</v>
      </c>
      <c r="CL25" s="3" t="s">
        <v>186</v>
      </c>
      <c r="CM25" s="32" t="str">
        <f t="shared" si="1"/>
        <v/>
      </c>
    </row>
    <row r="26" spans="1:91" x14ac:dyDescent="0.55000000000000004">
      <c r="A26" t="s">
        <v>228</v>
      </c>
      <c r="B26" t="s">
        <v>734</v>
      </c>
      <c r="C26" s="3">
        <v>1</v>
      </c>
      <c r="E26" t="s">
        <v>198</v>
      </c>
      <c r="F26">
        <v>4</v>
      </c>
      <c r="G26" t="s">
        <v>83</v>
      </c>
      <c r="H26" s="3">
        <v>20.47090669738358</v>
      </c>
      <c r="I26" s="3" t="s">
        <v>74</v>
      </c>
      <c r="J26" s="3">
        <v>0.2</v>
      </c>
      <c r="K26" s="3">
        <v>7.25</v>
      </c>
      <c r="L26" s="3">
        <v>0.25</v>
      </c>
      <c r="O26" s="3">
        <v>100</v>
      </c>
      <c r="P26" s="3">
        <v>4.8849814753335359</v>
      </c>
      <c r="R26" s="3">
        <v>10</v>
      </c>
      <c r="S26" s="4">
        <v>44945</v>
      </c>
      <c r="T26" s="3" t="s">
        <v>199</v>
      </c>
      <c r="U26" s="3" t="s">
        <v>200</v>
      </c>
      <c r="V26">
        <v>11</v>
      </c>
      <c r="W26" t="s">
        <v>88</v>
      </c>
      <c r="X26">
        <v>12</v>
      </c>
      <c r="Y26" t="s">
        <v>88</v>
      </c>
      <c r="Z26">
        <v>6</v>
      </c>
      <c r="AA26" t="s">
        <v>88</v>
      </c>
      <c r="AB26" t="s">
        <v>201</v>
      </c>
      <c r="AC26" s="3" t="s">
        <v>78</v>
      </c>
      <c r="AD26" s="3">
        <v>5</v>
      </c>
      <c r="AE26">
        <v>6</v>
      </c>
      <c r="AF26" t="s">
        <v>88</v>
      </c>
      <c r="AG26" t="s">
        <v>690</v>
      </c>
      <c r="AH26" s="17" t="s">
        <v>691</v>
      </c>
      <c r="AI26" t="s">
        <v>670</v>
      </c>
      <c r="AJ26" s="18" t="s">
        <v>671</v>
      </c>
      <c r="AO26" s="3">
        <v>9.2608790728187333E-3</v>
      </c>
      <c r="AP26" s="3">
        <v>37</v>
      </c>
      <c r="AQ26" s="3">
        <f t="shared" si="0"/>
        <v>0.34265252569429311</v>
      </c>
      <c r="BE26" s="3" t="s">
        <v>185</v>
      </c>
      <c r="BF26" s="3" t="s">
        <v>186</v>
      </c>
      <c r="BG26" s="3" t="s">
        <v>186</v>
      </c>
      <c r="BH26" s="3" t="s">
        <v>186</v>
      </c>
      <c r="BI26" s="3" t="s">
        <v>186</v>
      </c>
      <c r="BJ26" s="3" t="s">
        <v>186</v>
      </c>
      <c r="BK26" s="3" t="s">
        <v>186</v>
      </c>
      <c r="BL26" s="3" t="s">
        <v>186</v>
      </c>
      <c r="BM26" s="3" t="s">
        <v>186</v>
      </c>
      <c r="BN26" s="3" t="s">
        <v>186</v>
      </c>
      <c r="BO26" s="3" t="s">
        <v>186</v>
      </c>
      <c r="BP26" s="3" t="s">
        <v>186</v>
      </c>
      <c r="BQ26" s="3" t="s">
        <v>186</v>
      </c>
      <c r="BR26" s="3" t="s">
        <v>186</v>
      </c>
      <c r="BS26" s="3" t="s">
        <v>186</v>
      </c>
      <c r="BT26" s="3" t="s">
        <v>186</v>
      </c>
      <c r="BU26" s="3" t="s">
        <v>186</v>
      </c>
      <c r="BV26" s="3" t="s">
        <v>186</v>
      </c>
      <c r="BW26" s="3" t="s">
        <v>186</v>
      </c>
      <c r="BX26" s="21" t="s">
        <v>186</v>
      </c>
      <c r="BY26" s="3" t="s">
        <v>186</v>
      </c>
      <c r="BZ26" s="3" t="s">
        <v>186</v>
      </c>
      <c r="CA26" s="3" t="s">
        <v>186</v>
      </c>
      <c r="CB26" s="3" t="s">
        <v>186</v>
      </c>
      <c r="CC26" s="3" t="s">
        <v>186</v>
      </c>
      <c r="CD26" s="3" t="s">
        <v>186</v>
      </c>
      <c r="CE26" s="21" t="s">
        <v>186</v>
      </c>
      <c r="CF26" s="21" t="s">
        <v>186</v>
      </c>
      <c r="CG26" s="3" t="s">
        <v>186</v>
      </c>
      <c r="CH26" s="3" t="s">
        <v>186</v>
      </c>
      <c r="CI26" s="3" t="s">
        <v>186</v>
      </c>
      <c r="CJ26" s="3" t="s">
        <v>186</v>
      </c>
      <c r="CK26" s="3" t="s">
        <v>186</v>
      </c>
      <c r="CL26" s="3" t="s">
        <v>186</v>
      </c>
      <c r="CM26" s="32" t="str">
        <f t="shared" si="1"/>
        <v/>
      </c>
    </row>
    <row r="27" spans="1:91" x14ac:dyDescent="0.55000000000000004">
      <c r="A27" t="s">
        <v>229</v>
      </c>
      <c r="B27" t="s">
        <v>735</v>
      </c>
      <c r="C27" s="3">
        <v>1</v>
      </c>
      <c r="E27" t="s">
        <v>198</v>
      </c>
      <c r="F27">
        <v>5</v>
      </c>
      <c r="G27" t="s">
        <v>83</v>
      </c>
      <c r="H27" s="3">
        <v>10.93725522461741</v>
      </c>
      <c r="I27" s="3" t="s">
        <v>74</v>
      </c>
      <c r="J27" s="3">
        <v>0.2</v>
      </c>
      <c r="K27" s="3">
        <v>7.25</v>
      </c>
      <c r="L27" s="3">
        <v>0.25</v>
      </c>
      <c r="O27" s="3">
        <v>100</v>
      </c>
      <c r="P27" s="3">
        <v>9.1430617596745396</v>
      </c>
      <c r="R27" s="3">
        <v>10</v>
      </c>
      <c r="S27" s="4">
        <v>44945</v>
      </c>
      <c r="T27" s="3" t="s">
        <v>199</v>
      </c>
      <c r="U27" s="3" t="s">
        <v>200</v>
      </c>
      <c r="V27">
        <v>11</v>
      </c>
      <c r="W27" t="s">
        <v>91</v>
      </c>
      <c r="X27">
        <v>12</v>
      </c>
      <c r="Y27" t="s">
        <v>91</v>
      </c>
      <c r="Z27">
        <v>6</v>
      </c>
      <c r="AA27" t="s">
        <v>91</v>
      </c>
      <c r="AB27" t="s">
        <v>201</v>
      </c>
      <c r="AC27" s="3" t="s">
        <v>78</v>
      </c>
      <c r="AD27" s="3">
        <v>5</v>
      </c>
      <c r="AE27">
        <v>6</v>
      </c>
      <c r="AF27" t="s">
        <v>91</v>
      </c>
      <c r="AG27" t="s">
        <v>692</v>
      </c>
      <c r="AH27" s="17" t="s">
        <v>693</v>
      </c>
      <c r="AI27" t="s">
        <v>670</v>
      </c>
      <c r="AJ27" s="18" t="s">
        <v>671</v>
      </c>
      <c r="AO27" s="3">
        <v>-2.8019534951527088E-2</v>
      </c>
      <c r="AP27" s="3">
        <v>37</v>
      </c>
      <c r="AQ27" s="3">
        <f t="shared" si="0"/>
        <v>-1.0367227932065022</v>
      </c>
      <c r="BE27" s="3" t="s">
        <v>185</v>
      </c>
      <c r="BF27" s="3" t="s">
        <v>186</v>
      </c>
      <c r="BG27" s="3" t="s">
        <v>186</v>
      </c>
      <c r="BH27" s="3" t="s">
        <v>186</v>
      </c>
      <c r="BI27" s="3" t="s">
        <v>186</v>
      </c>
      <c r="BJ27" s="3" t="s">
        <v>186</v>
      </c>
      <c r="BK27" s="3" t="s">
        <v>186</v>
      </c>
      <c r="BL27" s="3" t="s">
        <v>186</v>
      </c>
      <c r="BM27" s="3" t="s">
        <v>186</v>
      </c>
      <c r="BN27" s="3" t="s">
        <v>186</v>
      </c>
      <c r="BO27" s="3" t="s">
        <v>186</v>
      </c>
      <c r="BP27" s="3" t="s">
        <v>186</v>
      </c>
      <c r="BQ27" s="3" t="s">
        <v>186</v>
      </c>
      <c r="BR27" s="3" t="s">
        <v>186</v>
      </c>
      <c r="BS27" s="3" t="s">
        <v>186</v>
      </c>
      <c r="BT27" s="3" t="s">
        <v>186</v>
      </c>
      <c r="BU27" s="3" t="s">
        <v>186</v>
      </c>
      <c r="BV27" s="3" t="s">
        <v>186</v>
      </c>
      <c r="BW27" s="3" t="s">
        <v>186</v>
      </c>
      <c r="BX27" s="21" t="s">
        <v>186</v>
      </c>
      <c r="BY27" s="3" t="s">
        <v>186</v>
      </c>
      <c r="BZ27" s="3" t="s">
        <v>186</v>
      </c>
      <c r="CA27" s="3" t="s">
        <v>186</v>
      </c>
      <c r="CB27" s="3" t="s">
        <v>186</v>
      </c>
      <c r="CC27" s="3" t="s">
        <v>186</v>
      </c>
      <c r="CD27" s="3" t="s">
        <v>186</v>
      </c>
      <c r="CE27" s="21" t="s">
        <v>186</v>
      </c>
      <c r="CF27" s="21" t="s">
        <v>186</v>
      </c>
      <c r="CG27" s="3" t="s">
        <v>186</v>
      </c>
      <c r="CH27" s="3" t="s">
        <v>186</v>
      </c>
      <c r="CI27" s="3" t="s">
        <v>186</v>
      </c>
      <c r="CJ27" s="3" t="s">
        <v>186</v>
      </c>
      <c r="CK27" s="3" t="s">
        <v>186</v>
      </c>
      <c r="CL27" s="3" t="s">
        <v>186</v>
      </c>
      <c r="CM27" s="32" t="str">
        <f t="shared" si="1"/>
        <v/>
      </c>
    </row>
    <row r="28" spans="1:91" x14ac:dyDescent="0.55000000000000004">
      <c r="A28" t="s">
        <v>230</v>
      </c>
      <c r="B28" t="s">
        <v>736</v>
      </c>
      <c r="C28" s="3">
        <v>1</v>
      </c>
      <c r="E28" t="s">
        <v>198</v>
      </c>
      <c r="F28">
        <v>6</v>
      </c>
      <c r="G28" t="s">
        <v>83</v>
      </c>
      <c r="H28" s="3">
        <v>7.5814135264110565</v>
      </c>
      <c r="I28" s="3" t="s">
        <v>74</v>
      </c>
      <c r="J28" s="3">
        <v>0.2</v>
      </c>
      <c r="K28" s="3">
        <v>7.25</v>
      </c>
      <c r="L28" s="3">
        <v>0.25</v>
      </c>
      <c r="O28" s="3">
        <v>100</v>
      </c>
      <c r="P28" s="3">
        <v>13.190152423638962</v>
      </c>
      <c r="R28" s="3">
        <v>10</v>
      </c>
      <c r="S28" s="4">
        <v>44945</v>
      </c>
      <c r="T28" s="3" t="s">
        <v>199</v>
      </c>
      <c r="U28" s="3" t="s">
        <v>200</v>
      </c>
      <c r="V28">
        <v>11</v>
      </c>
      <c r="W28" t="s">
        <v>92</v>
      </c>
      <c r="X28">
        <v>12</v>
      </c>
      <c r="Y28" t="s">
        <v>92</v>
      </c>
      <c r="Z28">
        <v>6</v>
      </c>
      <c r="AA28" t="s">
        <v>92</v>
      </c>
      <c r="AB28" t="s">
        <v>201</v>
      </c>
      <c r="AC28" s="3" t="s">
        <v>78</v>
      </c>
      <c r="AD28" s="3">
        <v>5</v>
      </c>
      <c r="AE28">
        <v>6</v>
      </c>
      <c r="AF28" t="s">
        <v>92</v>
      </c>
      <c r="AG28" t="s">
        <v>694</v>
      </c>
      <c r="AH28" s="17" t="s">
        <v>695</v>
      </c>
      <c r="AI28" t="s">
        <v>670</v>
      </c>
      <c r="AJ28" s="18" t="s">
        <v>671</v>
      </c>
      <c r="AO28" s="3">
        <v>-2.7932065019316284E-2</v>
      </c>
      <c r="AP28" s="3">
        <v>37</v>
      </c>
      <c r="AQ28" s="3">
        <f t="shared" si="0"/>
        <v>-1.0334864057147024</v>
      </c>
      <c r="BE28" s="3" t="s">
        <v>185</v>
      </c>
      <c r="BF28" s="3" t="s">
        <v>186</v>
      </c>
      <c r="BG28" s="3" t="s">
        <v>186</v>
      </c>
      <c r="BH28" s="3" t="s">
        <v>186</v>
      </c>
      <c r="BI28" s="3" t="s">
        <v>186</v>
      </c>
      <c r="BJ28" s="3" t="s">
        <v>186</v>
      </c>
      <c r="BK28" s="3" t="s">
        <v>186</v>
      </c>
      <c r="BL28" s="3" t="s">
        <v>186</v>
      </c>
      <c r="BM28" s="3" t="s">
        <v>186</v>
      </c>
      <c r="BN28" s="3" t="s">
        <v>186</v>
      </c>
      <c r="BO28" s="3" t="s">
        <v>186</v>
      </c>
      <c r="BP28" s="3" t="s">
        <v>186</v>
      </c>
      <c r="BQ28" s="3" t="s">
        <v>186</v>
      </c>
      <c r="BR28" s="3" t="s">
        <v>186</v>
      </c>
      <c r="BS28" s="3" t="s">
        <v>186</v>
      </c>
      <c r="BT28" s="3" t="s">
        <v>186</v>
      </c>
      <c r="BU28" s="3" t="s">
        <v>186</v>
      </c>
      <c r="BV28" s="3" t="s">
        <v>186</v>
      </c>
      <c r="BW28" s="3" t="s">
        <v>186</v>
      </c>
      <c r="BX28" s="21" t="s">
        <v>186</v>
      </c>
      <c r="BY28" s="3" t="s">
        <v>186</v>
      </c>
      <c r="BZ28" s="3" t="s">
        <v>186</v>
      </c>
      <c r="CA28" s="3" t="s">
        <v>186</v>
      </c>
      <c r="CB28" s="3" t="s">
        <v>186</v>
      </c>
      <c r="CC28" s="3" t="s">
        <v>186</v>
      </c>
      <c r="CD28" s="3" t="s">
        <v>186</v>
      </c>
      <c r="CE28" s="21" t="s">
        <v>186</v>
      </c>
      <c r="CF28" s="21" t="s">
        <v>186</v>
      </c>
      <c r="CG28" s="3" t="s">
        <v>186</v>
      </c>
      <c r="CH28" s="3" t="s">
        <v>186</v>
      </c>
      <c r="CI28" s="3" t="s">
        <v>186</v>
      </c>
      <c r="CJ28" s="3" t="s">
        <v>186</v>
      </c>
      <c r="CK28" s="3" t="s">
        <v>186</v>
      </c>
      <c r="CL28" s="3" t="s">
        <v>186</v>
      </c>
      <c r="CM28" s="32" t="str">
        <f t="shared" si="1"/>
        <v/>
      </c>
    </row>
    <row r="29" spans="1:91" x14ac:dyDescent="0.55000000000000004">
      <c r="A29" t="s">
        <v>231</v>
      </c>
      <c r="B29" t="s">
        <v>737</v>
      </c>
      <c r="C29" s="3">
        <v>1</v>
      </c>
      <c r="E29" t="s">
        <v>198</v>
      </c>
      <c r="F29">
        <v>7</v>
      </c>
      <c r="G29" t="s">
        <v>83</v>
      </c>
      <c r="H29" s="3">
        <v>6.1377941418463049</v>
      </c>
      <c r="I29" s="3" t="s">
        <v>74</v>
      </c>
      <c r="J29" s="3">
        <v>0.2</v>
      </c>
      <c r="K29" s="3">
        <v>7.25</v>
      </c>
      <c r="L29" s="3">
        <v>0.25</v>
      </c>
      <c r="O29" s="3">
        <v>100</v>
      </c>
      <c r="P29" s="3">
        <v>16.292498198696361</v>
      </c>
      <c r="R29" s="3">
        <v>10</v>
      </c>
      <c r="S29" s="4">
        <v>44945</v>
      </c>
      <c r="T29" s="3" t="s">
        <v>199</v>
      </c>
      <c r="U29" s="3" t="s">
        <v>200</v>
      </c>
      <c r="V29">
        <v>13</v>
      </c>
      <c r="W29" t="s">
        <v>73</v>
      </c>
      <c r="X29">
        <v>14</v>
      </c>
      <c r="Y29" t="s">
        <v>73</v>
      </c>
      <c r="Z29">
        <v>7</v>
      </c>
      <c r="AA29" t="s">
        <v>73</v>
      </c>
      <c r="AB29" t="s">
        <v>201</v>
      </c>
      <c r="AC29" s="3" t="s">
        <v>78</v>
      </c>
      <c r="AD29" s="3">
        <v>5</v>
      </c>
      <c r="AE29">
        <v>7</v>
      </c>
      <c r="AF29" t="s">
        <v>73</v>
      </c>
      <c r="AG29" t="s">
        <v>696</v>
      </c>
      <c r="AH29" s="17" t="s">
        <v>697</v>
      </c>
      <c r="AI29" t="s">
        <v>672</v>
      </c>
      <c r="AJ29" s="18" t="s">
        <v>673</v>
      </c>
      <c r="AO29" s="3">
        <v>0.17099278373059262</v>
      </c>
      <c r="AP29" s="3">
        <v>37</v>
      </c>
      <c r="AQ29" s="3">
        <f t="shared" si="0"/>
        <v>6.3267329980319271</v>
      </c>
      <c r="BE29" s="3" t="s">
        <v>185</v>
      </c>
      <c r="BF29" s="3" t="s">
        <v>186</v>
      </c>
      <c r="BG29" s="3" t="s">
        <v>186</v>
      </c>
      <c r="BH29" s="3" t="s">
        <v>186</v>
      </c>
      <c r="BI29" s="3" t="s">
        <v>186</v>
      </c>
      <c r="BJ29" s="3" t="s">
        <v>186</v>
      </c>
      <c r="BK29" s="3" t="s">
        <v>186</v>
      </c>
      <c r="BL29" s="3" t="s">
        <v>186</v>
      </c>
      <c r="BM29" s="3" t="s">
        <v>186</v>
      </c>
      <c r="BN29" s="3" t="s">
        <v>186</v>
      </c>
      <c r="BO29" s="3" t="s">
        <v>186</v>
      </c>
      <c r="BP29" s="3" t="s">
        <v>186</v>
      </c>
      <c r="BQ29" s="3" t="s">
        <v>186</v>
      </c>
      <c r="BR29" s="3" t="s">
        <v>186</v>
      </c>
      <c r="BS29" s="3" t="s">
        <v>186</v>
      </c>
      <c r="BT29" s="3" t="s">
        <v>186</v>
      </c>
      <c r="BU29" s="3" t="s">
        <v>186</v>
      </c>
      <c r="BV29" s="3" t="s">
        <v>186</v>
      </c>
      <c r="BW29" s="3" t="s">
        <v>186</v>
      </c>
      <c r="BX29" s="21" t="s">
        <v>186</v>
      </c>
      <c r="BY29" s="3" t="s">
        <v>186</v>
      </c>
      <c r="BZ29" s="3" t="s">
        <v>186</v>
      </c>
      <c r="CA29" s="3" t="s">
        <v>186</v>
      </c>
      <c r="CB29" s="3" t="s">
        <v>186</v>
      </c>
      <c r="CC29" s="3" t="s">
        <v>186</v>
      </c>
      <c r="CD29" s="3" t="s">
        <v>186</v>
      </c>
      <c r="CE29" s="21" t="s">
        <v>186</v>
      </c>
      <c r="CF29" s="21" t="s">
        <v>186</v>
      </c>
      <c r="CG29" s="3" t="s">
        <v>186</v>
      </c>
      <c r="CH29" s="3" t="s">
        <v>186</v>
      </c>
      <c r="CI29" s="3" t="s">
        <v>186</v>
      </c>
      <c r="CJ29" s="3" t="s">
        <v>186</v>
      </c>
      <c r="CK29" s="3" t="s">
        <v>186</v>
      </c>
      <c r="CL29" s="3" t="s">
        <v>186</v>
      </c>
      <c r="CM29" s="32" t="str">
        <f t="shared" si="1"/>
        <v/>
      </c>
    </row>
    <row r="30" spans="1:91" x14ac:dyDescent="0.55000000000000004">
      <c r="A30" t="s">
        <v>233</v>
      </c>
      <c r="B30" t="s">
        <v>738</v>
      </c>
      <c r="C30" s="3">
        <v>1</v>
      </c>
      <c r="E30" t="s">
        <v>198</v>
      </c>
      <c r="F30">
        <v>9</v>
      </c>
      <c r="G30" t="s">
        <v>83</v>
      </c>
      <c r="H30" s="3">
        <v>5.7967541550106958</v>
      </c>
      <c r="I30" s="3" t="s">
        <v>74</v>
      </c>
      <c r="J30" s="3">
        <v>0.2</v>
      </c>
      <c r="K30" s="3">
        <v>7.25</v>
      </c>
      <c r="L30" s="3">
        <v>0.25</v>
      </c>
      <c r="O30" s="3">
        <v>100</v>
      </c>
      <c r="P30" s="3">
        <v>17.251033479410253</v>
      </c>
      <c r="R30" s="3">
        <v>10</v>
      </c>
      <c r="S30" s="4">
        <v>44945</v>
      </c>
      <c r="T30" s="3" t="s">
        <v>199</v>
      </c>
      <c r="U30" s="3" t="s">
        <v>200</v>
      </c>
      <c r="V30">
        <v>13</v>
      </c>
      <c r="W30" t="s">
        <v>83</v>
      </c>
      <c r="X30">
        <v>14</v>
      </c>
      <c r="Y30" t="s">
        <v>83</v>
      </c>
      <c r="Z30">
        <v>7</v>
      </c>
      <c r="AA30" t="s">
        <v>83</v>
      </c>
      <c r="AB30" t="s">
        <v>201</v>
      </c>
      <c r="AC30" s="3" t="s">
        <v>78</v>
      </c>
      <c r="AD30" s="3">
        <v>5</v>
      </c>
      <c r="AE30">
        <v>7</v>
      </c>
      <c r="AF30" t="s">
        <v>83</v>
      </c>
      <c r="AG30" t="s">
        <v>682</v>
      </c>
      <c r="AH30" s="17" t="s">
        <v>683</v>
      </c>
      <c r="AI30" t="s">
        <v>672</v>
      </c>
      <c r="AJ30" s="18" t="s">
        <v>673</v>
      </c>
      <c r="AO30" s="3">
        <v>-1.1126904293315856E-2</v>
      </c>
      <c r="AP30" s="3">
        <v>37</v>
      </c>
      <c r="AQ30" s="3">
        <f t="shared" si="0"/>
        <v>-0.41169545885268666</v>
      </c>
      <c r="BE30" s="3" t="s">
        <v>185</v>
      </c>
      <c r="BF30" s="3" t="s">
        <v>186</v>
      </c>
      <c r="BG30" s="3" t="s">
        <v>186</v>
      </c>
      <c r="BH30" s="3" t="s">
        <v>186</v>
      </c>
      <c r="BI30" s="3" t="s">
        <v>186</v>
      </c>
      <c r="BJ30" s="3" t="s">
        <v>186</v>
      </c>
      <c r="BK30" s="3" t="s">
        <v>186</v>
      </c>
      <c r="BL30" s="3" t="s">
        <v>186</v>
      </c>
      <c r="BM30" s="3" t="s">
        <v>186</v>
      </c>
      <c r="BN30" s="3" t="s">
        <v>186</v>
      </c>
      <c r="BO30" s="3" t="s">
        <v>186</v>
      </c>
      <c r="BP30" s="3" t="s">
        <v>186</v>
      </c>
      <c r="BQ30" s="3" t="s">
        <v>186</v>
      </c>
      <c r="BR30" s="3" t="s">
        <v>186</v>
      </c>
      <c r="BS30" s="3" t="s">
        <v>186</v>
      </c>
      <c r="BT30" s="3" t="s">
        <v>186</v>
      </c>
      <c r="BU30" s="3" t="s">
        <v>186</v>
      </c>
      <c r="BV30" s="3" t="s">
        <v>186</v>
      </c>
      <c r="BW30" s="3" t="s">
        <v>186</v>
      </c>
      <c r="BX30" s="21" t="s">
        <v>186</v>
      </c>
      <c r="BY30" s="3" t="s">
        <v>186</v>
      </c>
      <c r="BZ30" s="3" t="s">
        <v>186</v>
      </c>
      <c r="CA30" s="3" t="s">
        <v>186</v>
      </c>
      <c r="CB30" s="3" t="s">
        <v>186</v>
      </c>
      <c r="CC30" s="3" t="s">
        <v>186</v>
      </c>
      <c r="CD30" s="3" t="s">
        <v>186</v>
      </c>
      <c r="CE30" s="21" t="s">
        <v>186</v>
      </c>
      <c r="CF30" s="21" t="s">
        <v>186</v>
      </c>
      <c r="CG30" s="3" t="s">
        <v>186</v>
      </c>
      <c r="CH30" s="3" t="s">
        <v>186</v>
      </c>
      <c r="CI30" s="3" t="s">
        <v>186</v>
      </c>
      <c r="CJ30" s="3" t="s">
        <v>186</v>
      </c>
      <c r="CK30" s="3" t="s">
        <v>186</v>
      </c>
      <c r="CL30" s="3" t="s">
        <v>186</v>
      </c>
      <c r="CM30" s="32" t="str">
        <f t="shared" si="1"/>
        <v/>
      </c>
    </row>
    <row r="31" spans="1:91" x14ac:dyDescent="0.55000000000000004">
      <c r="A31" t="s">
        <v>234</v>
      </c>
      <c r="B31" t="s">
        <v>739</v>
      </c>
      <c r="C31" s="3">
        <v>1</v>
      </c>
      <c r="E31" t="s">
        <v>198</v>
      </c>
      <c r="F31">
        <v>10</v>
      </c>
      <c r="G31" t="s">
        <v>83</v>
      </c>
      <c r="H31" s="3">
        <v>5.1763370083922986</v>
      </c>
      <c r="I31" s="3" t="s">
        <v>74</v>
      </c>
      <c r="J31" s="3">
        <v>0.2</v>
      </c>
      <c r="K31" s="3">
        <v>7.25</v>
      </c>
      <c r="L31" s="3">
        <v>0.25</v>
      </c>
      <c r="O31" s="3">
        <v>100</v>
      </c>
      <c r="P31" s="3">
        <v>19.318680340532673</v>
      </c>
      <c r="R31" s="3">
        <v>10</v>
      </c>
      <c r="S31" s="4">
        <v>44945</v>
      </c>
      <c r="T31" s="3" t="s">
        <v>199</v>
      </c>
      <c r="U31" s="3" t="s">
        <v>200</v>
      </c>
      <c r="V31">
        <v>13</v>
      </c>
      <c r="W31" t="s">
        <v>84</v>
      </c>
      <c r="X31">
        <v>14</v>
      </c>
      <c r="Y31" t="s">
        <v>84</v>
      </c>
      <c r="Z31">
        <v>7</v>
      </c>
      <c r="AA31" t="s">
        <v>84</v>
      </c>
      <c r="AB31" t="s">
        <v>201</v>
      </c>
      <c r="AC31" s="3" t="s">
        <v>78</v>
      </c>
      <c r="AD31" s="3">
        <v>5</v>
      </c>
      <c r="AE31">
        <v>7</v>
      </c>
      <c r="AF31" t="s">
        <v>84</v>
      </c>
      <c r="AG31" t="s">
        <v>686</v>
      </c>
      <c r="AH31" s="17" t="s">
        <v>687</v>
      </c>
      <c r="AI31" t="s">
        <v>672</v>
      </c>
      <c r="AJ31" s="18" t="s">
        <v>673</v>
      </c>
      <c r="AO31" s="3">
        <v>8.4539689481740649E-2</v>
      </c>
      <c r="AP31" s="3">
        <v>37</v>
      </c>
      <c r="AQ31" s="3">
        <f t="shared" si="0"/>
        <v>3.1279685108244042</v>
      </c>
      <c r="BE31" s="3" t="s">
        <v>185</v>
      </c>
      <c r="BF31" s="3" t="s">
        <v>186</v>
      </c>
      <c r="BG31" s="3" t="s">
        <v>186</v>
      </c>
      <c r="BH31" s="3" t="s">
        <v>186</v>
      </c>
      <c r="BI31" s="3" t="s">
        <v>186</v>
      </c>
      <c r="BJ31" s="3" t="s">
        <v>186</v>
      </c>
      <c r="BK31" s="3" t="s">
        <v>186</v>
      </c>
      <c r="BL31" s="3" t="s">
        <v>186</v>
      </c>
      <c r="BM31" s="3" t="s">
        <v>186</v>
      </c>
      <c r="BN31" s="3" t="s">
        <v>186</v>
      </c>
      <c r="BO31" s="3" t="s">
        <v>186</v>
      </c>
      <c r="BP31" s="3" t="s">
        <v>186</v>
      </c>
      <c r="BQ31" s="3" t="s">
        <v>186</v>
      </c>
      <c r="BR31" s="3" t="s">
        <v>186</v>
      </c>
      <c r="BS31" s="3" t="s">
        <v>186</v>
      </c>
      <c r="BT31" s="3" t="s">
        <v>186</v>
      </c>
      <c r="BU31" s="3" t="s">
        <v>186</v>
      </c>
      <c r="BV31" s="3" t="s">
        <v>186</v>
      </c>
      <c r="BW31" s="3" t="s">
        <v>186</v>
      </c>
      <c r="BX31" s="21" t="s">
        <v>186</v>
      </c>
      <c r="BY31" s="3" t="s">
        <v>186</v>
      </c>
      <c r="BZ31" s="3" t="s">
        <v>186</v>
      </c>
      <c r="CA31" s="3" t="s">
        <v>186</v>
      </c>
      <c r="CB31" s="3" t="s">
        <v>186</v>
      </c>
      <c r="CC31" s="3" t="s">
        <v>186</v>
      </c>
      <c r="CD31" s="3" t="s">
        <v>186</v>
      </c>
      <c r="CE31" s="21" t="s">
        <v>186</v>
      </c>
      <c r="CF31" s="21" t="s">
        <v>186</v>
      </c>
      <c r="CG31" s="3" t="s">
        <v>186</v>
      </c>
      <c r="CH31" s="3" t="s">
        <v>186</v>
      </c>
      <c r="CI31" s="3" t="s">
        <v>186</v>
      </c>
      <c r="CJ31" s="3" t="s">
        <v>186</v>
      </c>
      <c r="CK31" s="3" t="s">
        <v>186</v>
      </c>
      <c r="CL31" s="3" t="s">
        <v>186</v>
      </c>
      <c r="CM31" s="32" t="str">
        <f t="shared" si="1"/>
        <v/>
      </c>
    </row>
    <row r="32" spans="1:91" x14ac:dyDescent="0.55000000000000004">
      <c r="A32" t="s">
        <v>235</v>
      </c>
      <c r="B32" t="s">
        <v>740</v>
      </c>
      <c r="C32" s="3">
        <v>1</v>
      </c>
      <c r="E32" t="s">
        <v>198</v>
      </c>
      <c r="F32">
        <v>11</v>
      </c>
      <c r="G32" t="s">
        <v>83</v>
      </c>
      <c r="H32" s="3">
        <v>6.7836638143820966</v>
      </c>
      <c r="I32" s="3" t="s">
        <v>74</v>
      </c>
      <c r="J32" s="3">
        <v>0.2</v>
      </c>
      <c r="K32" s="3">
        <v>7.25</v>
      </c>
      <c r="L32" s="3">
        <v>0.25</v>
      </c>
      <c r="O32" s="3">
        <v>100</v>
      </c>
      <c r="P32" s="3">
        <v>14.741296552460227</v>
      </c>
      <c r="R32" s="3">
        <v>10</v>
      </c>
      <c r="S32" s="4">
        <v>44945</v>
      </c>
      <c r="T32" s="3" t="s">
        <v>199</v>
      </c>
      <c r="U32" s="3" t="s">
        <v>200</v>
      </c>
      <c r="V32">
        <v>13</v>
      </c>
      <c r="W32" t="s">
        <v>87</v>
      </c>
      <c r="X32">
        <v>14</v>
      </c>
      <c r="Y32" t="s">
        <v>87</v>
      </c>
      <c r="Z32">
        <v>7</v>
      </c>
      <c r="AA32" t="s">
        <v>87</v>
      </c>
      <c r="AB32" t="s">
        <v>201</v>
      </c>
      <c r="AC32" s="3" t="s">
        <v>78</v>
      </c>
      <c r="AD32" s="3">
        <v>5</v>
      </c>
      <c r="AE32">
        <v>7</v>
      </c>
      <c r="AF32" t="s">
        <v>87</v>
      </c>
      <c r="AG32" t="s">
        <v>688</v>
      </c>
      <c r="AH32" s="17" t="s">
        <v>689</v>
      </c>
      <c r="AI32" t="s">
        <v>672</v>
      </c>
      <c r="AJ32" s="18" t="s">
        <v>673</v>
      </c>
      <c r="AO32" s="3">
        <v>6.0704132954296955E-2</v>
      </c>
      <c r="AP32" s="3">
        <v>37</v>
      </c>
      <c r="AQ32" s="3">
        <f t="shared" si="0"/>
        <v>2.2460529193089873</v>
      </c>
      <c r="BE32" s="3" t="s">
        <v>185</v>
      </c>
      <c r="BF32" s="3" t="s">
        <v>186</v>
      </c>
      <c r="BG32" s="3" t="s">
        <v>186</v>
      </c>
      <c r="BH32" s="3" t="s">
        <v>186</v>
      </c>
      <c r="BI32" s="3" t="s">
        <v>186</v>
      </c>
      <c r="BJ32" s="3" t="s">
        <v>186</v>
      </c>
      <c r="BK32" s="3" t="s">
        <v>186</v>
      </c>
      <c r="BL32" s="3" t="s">
        <v>186</v>
      </c>
      <c r="BM32" s="3" t="s">
        <v>186</v>
      </c>
      <c r="BN32" s="3" t="s">
        <v>186</v>
      </c>
      <c r="BO32" s="3" t="s">
        <v>186</v>
      </c>
      <c r="BP32" s="3" t="s">
        <v>186</v>
      </c>
      <c r="BQ32" s="3" t="s">
        <v>186</v>
      </c>
      <c r="BR32" s="3" t="s">
        <v>186</v>
      </c>
      <c r="BS32" s="3" t="s">
        <v>186</v>
      </c>
      <c r="BT32" s="3" t="s">
        <v>186</v>
      </c>
      <c r="BU32" s="3" t="s">
        <v>186</v>
      </c>
      <c r="BV32" s="3" t="s">
        <v>186</v>
      </c>
      <c r="BW32" s="3" t="s">
        <v>186</v>
      </c>
      <c r="BX32" s="21" t="s">
        <v>186</v>
      </c>
      <c r="BY32" s="3" t="s">
        <v>186</v>
      </c>
      <c r="BZ32" s="3" t="s">
        <v>186</v>
      </c>
      <c r="CA32" s="3" t="s">
        <v>186</v>
      </c>
      <c r="CB32" s="3" t="s">
        <v>186</v>
      </c>
      <c r="CC32" s="3" t="s">
        <v>186</v>
      </c>
      <c r="CD32" s="3" t="s">
        <v>186</v>
      </c>
      <c r="CE32" s="21" t="s">
        <v>186</v>
      </c>
      <c r="CF32" s="21" t="s">
        <v>186</v>
      </c>
      <c r="CG32" s="3" t="s">
        <v>186</v>
      </c>
      <c r="CH32" s="3" t="s">
        <v>186</v>
      </c>
      <c r="CI32" s="3" t="s">
        <v>186</v>
      </c>
      <c r="CJ32" s="3" t="s">
        <v>186</v>
      </c>
      <c r="CK32" s="3" t="s">
        <v>186</v>
      </c>
      <c r="CL32" s="3" t="s">
        <v>186</v>
      </c>
      <c r="CM32" s="32" t="str">
        <f t="shared" si="1"/>
        <v/>
      </c>
    </row>
    <row r="33" spans="1:91" x14ac:dyDescent="0.55000000000000004">
      <c r="A33" t="s">
        <v>236</v>
      </c>
      <c r="B33" t="s">
        <v>741</v>
      </c>
      <c r="C33" s="3">
        <v>1</v>
      </c>
      <c r="E33" t="s">
        <v>198</v>
      </c>
      <c r="F33">
        <v>12</v>
      </c>
      <c r="G33" t="s">
        <v>83</v>
      </c>
      <c r="H33" s="3">
        <v>4.4407684712851729</v>
      </c>
      <c r="I33" s="3" t="s">
        <v>74</v>
      </c>
      <c r="J33" s="3">
        <v>0.2</v>
      </c>
      <c r="K33" s="3">
        <v>7.25</v>
      </c>
      <c r="L33" s="3">
        <v>0.25</v>
      </c>
      <c r="O33" s="3">
        <v>100</v>
      </c>
      <c r="P33" s="3">
        <v>22.518625018759348</v>
      </c>
      <c r="R33" s="3">
        <v>10</v>
      </c>
      <c r="S33" s="4">
        <v>44945</v>
      </c>
      <c r="T33" s="3" t="s">
        <v>199</v>
      </c>
      <c r="U33" s="3" t="s">
        <v>200</v>
      </c>
      <c r="V33">
        <v>13</v>
      </c>
      <c r="W33" t="s">
        <v>88</v>
      </c>
      <c r="X33">
        <v>14</v>
      </c>
      <c r="Y33" t="s">
        <v>88</v>
      </c>
      <c r="Z33">
        <v>7</v>
      </c>
      <c r="AA33" t="s">
        <v>88</v>
      </c>
      <c r="AB33" t="s">
        <v>201</v>
      </c>
      <c r="AC33" s="3" t="s">
        <v>78</v>
      </c>
      <c r="AD33" s="3">
        <v>5</v>
      </c>
      <c r="AE33">
        <v>7</v>
      </c>
      <c r="AF33" t="s">
        <v>88</v>
      </c>
      <c r="AG33" t="s">
        <v>690</v>
      </c>
      <c r="AH33" s="17" t="s">
        <v>691</v>
      </c>
      <c r="AI33" t="s">
        <v>672</v>
      </c>
      <c r="AJ33" s="18" t="s">
        <v>673</v>
      </c>
      <c r="AO33" s="3">
        <v>-5.4085574750346227E-2</v>
      </c>
      <c r="AP33" s="3">
        <v>37</v>
      </c>
      <c r="AQ33" s="3">
        <f t="shared" si="0"/>
        <v>-2.0011662657628104</v>
      </c>
      <c r="BE33" s="3" t="s">
        <v>185</v>
      </c>
      <c r="BF33" s="3" t="s">
        <v>186</v>
      </c>
      <c r="BG33" s="3" t="s">
        <v>186</v>
      </c>
      <c r="BH33" s="3" t="s">
        <v>186</v>
      </c>
      <c r="BI33" s="3" t="s">
        <v>186</v>
      </c>
      <c r="BJ33" s="3" t="s">
        <v>186</v>
      </c>
      <c r="BK33" s="3" t="s">
        <v>186</v>
      </c>
      <c r="BL33" s="3" t="s">
        <v>186</v>
      </c>
      <c r="BM33" s="3" t="s">
        <v>186</v>
      </c>
      <c r="BN33" s="3" t="s">
        <v>186</v>
      </c>
      <c r="BO33" s="3" t="s">
        <v>186</v>
      </c>
      <c r="BP33" s="3" t="s">
        <v>186</v>
      </c>
      <c r="BQ33" s="3" t="s">
        <v>186</v>
      </c>
      <c r="BR33" s="3" t="s">
        <v>186</v>
      </c>
      <c r="BS33" s="3" t="s">
        <v>186</v>
      </c>
      <c r="BT33" s="3" t="s">
        <v>186</v>
      </c>
      <c r="BU33" s="3" t="s">
        <v>186</v>
      </c>
      <c r="BV33" s="3" t="s">
        <v>186</v>
      </c>
      <c r="BW33" s="3" t="s">
        <v>186</v>
      </c>
      <c r="BX33" s="21" t="s">
        <v>186</v>
      </c>
      <c r="BY33" s="3" t="s">
        <v>186</v>
      </c>
      <c r="BZ33" s="3" t="s">
        <v>186</v>
      </c>
      <c r="CA33" s="3" t="s">
        <v>186</v>
      </c>
      <c r="CB33" s="3" t="s">
        <v>186</v>
      </c>
      <c r="CC33" s="3" t="s">
        <v>186</v>
      </c>
      <c r="CD33" s="3" t="s">
        <v>186</v>
      </c>
      <c r="CE33" s="21" t="s">
        <v>186</v>
      </c>
      <c r="CF33" s="21" t="s">
        <v>186</v>
      </c>
      <c r="CG33" s="3" t="s">
        <v>186</v>
      </c>
      <c r="CH33" s="3" t="s">
        <v>186</v>
      </c>
      <c r="CI33" s="3" t="s">
        <v>186</v>
      </c>
      <c r="CJ33" s="3" t="s">
        <v>186</v>
      </c>
      <c r="CK33" s="3" t="s">
        <v>186</v>
      </c>
      <c r="CL33" s="3" t="s">
        <v>186</v>
      </c>
      <c r="CM33" s="32" t="str">
        <f t="shared" si="1"/>
        <v/>
      </c>
    </row>
    <row r="34" spans="1:91" x14ac:dyDescent="0.55000000000000004">
      <c r="A34" t="s">
        <v>237</v>
      </c>
      <c r="B34" t="s">
        <v>742</v>
      </c>
      <c r="C34" s="3">
        <v>1</v>
      </c>
      <c r="E34" t="s">
        <v>198</v>
      </c>
      <c r="F34">
        <v>1</v>
      </c>
      <c r="G34" t="s">
        <v>84</v>
      </c>
      <c r="H34" s="3">
        <v>2.0565328286983711</v>
      </c>
      <c r="I34" s="3" t="s">
        <v>74</v>
      </c>
      <c r="J34" s="3">
        <v>0.2</v>
      </c>
      <c r="K34" s="3">
        <v>7.25</v>
      </c>
      <c r="L34" s="3">
        <v>0.25</v>
      </c>
      <c r="O34" s="3">
        <v>92.5439772914267</v>
      </c>
      <c r="P34" s="3">
        <v>45</v>
      </c>
      <c r="R34" s="3">
        <v>10</v>
      </c>
      <c r="S34" s="4">
        <v>44945</v>
      </c>
      <c r="T34" s="3" t="s">
        <v>199</v>
      </c>
      <c r="U34" s="3" t="s">
        <v>200</v>
      </c>
      <c r="V34">
        <v>13</v>
      </c>
      <c r="W34" t="s">
        <v>91</v>
      </c>
      <c r="X34">
        <v>14</v>
      </c>
      <c r="Y34" t="s">
        <v>91</v>
      </c>
      <c r="Z34">
        <v>7</v>
      </c>
      <c r="AA34" t="s">
        <v>91</v>
      </c>
      <c r="AB34" t="s">
        <v>201</v>
      </c>
      <c r="AC34" s="3" t="s">
        <v>78</v>
      </c>
      <c r="AD34" s="3">
        <v>5</v>
      </c>
      <c r="AE34">
        <v>7</v>
      </c>
      <c r="AF34" t="s">
        <v>91</v>
      </c>
      <c r="AG34" t="s">
        <v>692</v>
      </c>
      <c r="AH34" s="17" t="s">
        <v>693</v>
      </c>
      <c r="AI34" t="s">
        <v>672</v>
      </c>
      <c r="AJ34" s="18" t="s">
        <v>673</v>
      </c>
      <c r="AO34" s="3">
        <v>-5.1960784313725486E-2</v>
      </c>
      <c r="AP34" s="3">
        <v>37</v>
      </c>
      <c r="AQ34" s="3">
        <f t="shared" si="0"/>
        <v>-1.922549019607843</v>
      </c>
      <c r="BE34" s="3" t="s">
        <v>185</v>
      </c>
      <c r="BF34" s="3" t="s">
        <v>186</v>
      </c>
      <c r="BG34" s="3" t="s">
        <v>186</v>
      </c>
      <c r="BH34" s="3" t="s">
        <v>186</v>
      </c>
      <c r="BI34" s="3" t="s">
        <v>186</v>
      </c>
      <c r="BJ34" s="3" t="s">
        <v>186</v>
      </c>
      <c r="BK34" s="3" t="s">
        <v>186</v>
      </c>
      <c r="BL34" s="3" t="s">
        <v>186</v>
      </c>
      <c r="BM34" s="3" t="s">
        <v>186</v>
      </c>
      <c r="BN34" s="3" t="s">
        <v>186</v>
      </c>
      <c r="BO34" s="3" t="s">
        <v>186</v>
      </c>
      <c r="BP34" s="3" t="s">
        <v>186</v>
      </c>
      <c r="BQ34" s="3" t="s">
        <v>186</v>
      </c>
      <c r="BR34" s="3" t="s">
        <v>186</v>
      </c>
      <c r="BS34" s="3" t="s">
        <v>186</v>
      </c>
      <c r="BT34" s="3" t="s">
        <v>186</v>
      </c>
      <c r="BU34" s="3" t="s">
        <v>186</v>
      </c>
      <c r="BV34" s="3" t="s">
        <v>186</v>
      </c>
      <c r="BW34" s="3" t="s">
        <v>186</v>
      </c>
      <c r="BX34" s="21" t="s">
        <v>186</v>
      </c>
      <c r="BY34" s="3" t="s">
        <v>186</v>
      </c>
      <c r="BZ34" s="3" t="s">
        <v>186</v>
      </c>
      <c r="CA34" s="3" t="s">
        <v>186</v>
      </c>
      <c r="CB34" s="3" t="s">
        <v>186</v>
      </c>
      <c r="CC34" s="3" t="s">
        <v>186</v>
      </c>
      <c r="CD34" s="3" t="s">
        <v>186</v>
      </c>
      <c r="CE34" s="21" t="s">
        <v>186</v>
      </c>
      <c r="CF34" s="21" t="s">
        <v>186</v>
      </c>
      <c r="CG34" s="3" t="s">
        <v>186</v>
      </c>
      <c r="CH34" s="3" t="s">
        <v>186</v>
      </c>
      <c r="CI34" s="3" t="s">
        <v>186</v>
      </c>
      <c r="CJ34" s="3" t="s">
        <v>186</v>
      </c>
      <c r="CK34" s="3" t="s">
        <v>186</v>
      </c>
      <c r="CL34" s="3" t="s">
        <v>186</v>
      </c>
      <c r="CM34" s="32" t="str">
        <f t="shared" ref="CM34:CM65" si="2">IF(CL34="N/A","",CD34)</f>
        <v/>
      </c>
    </row>
    <row r="35" spans="1:91" x14ac:dyDescent="0.55000000000000004">
      <c r="A35" t="s">
        <v>238</v>
      </c>
      <c r="B35" t="s">
        <v>743</v>
      </c>
      <c r="C35" s="3">
        <v>1</v>
      </c>
      <c r="E35" t="s">
        <v>198</v>
      </c>
      <c r="F35">
        <v>2</v>
      </c>
      <c r="G35" t="s">
        <v>84</v>
      </c>
      <c r="H35" s="3">
        <v>4.5164143491854531</v>
      </c>
      <c r="I35" s="3" t="s">
        <v>74</v>
      </c>
      <c r="J35" s="3">
        <v>0.2</v>
      </c>
      <c r="K35" s="3">
        <v>7.25</v>
      </c>
      <c r="L35" s="3">
        <v>0.25</v>
      </c>
      <c r="O35" s="3">
        <v>100</v>
      </c>
      <c r="P35" s="3">
        <v>22.141458304868607</v>
      </c>
      <c r="R35" s="3">
        <v>10</v>
      </c>
      <c r="S35" s="4">
        <v>44945</v>
      </c>
      <c r="T35" s="3" t="s">
        <v>199</v>
      </c>
      <c r="U35" s="3" t="s">
        <v>200</v>
      </c>
      <c r="V35">
        <v>13</v>
      </c>
      <c r="W35" t="s">
        <v>92</v>
      </c>
      <c r="X35">
        <v>14</v>
      </c>
      <c r="Y35" t="s">
        <v>92</v>
      </c>
      <c r="Z35">
        <v>7</v>
      </c>
      <c r="AA35" t="s">
        <v>92</v>
      </c>
      <c r="AB35" t="s">
        <v>201</v>
      </c>
      <c r="AC35" s="3" t="s">
        <v>78</v>
      </c>
      <c r="AD35" s="3">
        <v>5</v>
      </c>
      <c r="AE35">
        <v>7</v>
      </c>
      <c r="AF35" t="s">
        <v>92</v>
      </c>
      <c r="AG35" t="s">
        <v>694</v>
      </c>
      <c r="AH35" s="17" t="s">
        <v>695</v>
      </c>
      <c r="AI35" t="s">
        <v>672</v>
      </c>
      <c r="AJ35" s="18" t="s">
        <v>673</v>
      </c>
      <c r="AO35" s="3">
        <v>-4.4121291639332288E-2</v>
      </c>
      <c r="AP35" s="3">
        <v>37</v>
      </c>
      <c r="AQ35" s="3">
        <f t="shared" si="0"/>
        <v>-1.6324877906552946</v>
      </c>
      <c r="BE35" s="3" t="s">
        <v>185</v>
      </c>
      <c r="BF35" s="3" t="s">
        <v>186</v>
      </c>
      <c r="BG35" s="3" t="s">
        <v>186</v>
      </c>
      <c r="BH35" s="3" t="s">
        <v>186</v>
      </c>
      <c r="BI35" s="3" t="s">
        <v>186</v>
      </c>
      <c r="BJ35" s="3" t="s">
        <v>186</v>
      </c>
      <c r="BK35" s="3" t="s">
        <v>186</v>
      </c>
      <c r="BL35" s="3" t="s">
        <v>186</v>
      </c>
      <c r="BM35" s="3" t="s">
        <v>186</v>
      </c>
      <c r="BN35" s="3" t="s">
        <v>186</v>
      </c>
      <c r="BO35" s="3" t="s">
        <v>186</v>
      </c>
      <c r="BP35" s="3" t="s">
        <v>186</v>
      </c>
      <c r="BQ35" s="3" t="s">
        <v>186</v>
      </c>
      <c r="BR35" s="3" t="s">
        <v>186</v>
      </c>
      <c r="BS35" s="3" t="s">
        <v>186</v>
      </c>
      <c r="BT35" s="3" t="s">
        <v>186</v>
      </c>
      <c r="BU35" s="3" t="s">
        <v>186</v>
      </c>
      <c r="BV35" s="3" t="s">
        <v>186</v>
      </c>
      <c r="BW35" s="3" t="s">
        <v>186</v>
      </c>
      <c r="BX35" s="21" t="s">
        <v>186</v>
      </c>
      <c r="BY35" s="3" t="s">
        <v>186</v>
      </c>
      <c r="BZ35" s="3" t="s">
        <v>186</v>
      </c>
      <c r="CA35" s="3" t="s">
        <v>186</v>
      </c>
      <c r="CB35" s="3" t="s">
        <v>186</v>
      </c>
      <c r="CC35" s="3" t="s">
        <v>186</v>
      </c>
      <c r="CD35" s="3" t="s">
        <v>186</v>
      </c>
      <c r="CE35" s="21" t="s">
        <v>186</v>
      </c>
      <c r="CF35" s="21" t="s">
        <v>186</v>
      </c>
      <c r="CG35" s="3" t="s">
        <v>186</v>
      </c>
      <c r="CH35" s="3" t="s">
        <v>186</v>
      </c>
      <c r="CI35" s="3" t="s">
        <v>186</v>
      </c>
      <c r="CJ35" s="3" t="s">
        <v>186</v>
      </c>
      <c r="CK35" s="3" t="s">
        <v>186</v>
      </c>
      <c r="CL35" s="3" t="s">
        <v>186</v>
      </c>
      <c r="CM35" s="32" t="str">
        <f t="shared" si="2"/>
        <v/>
      </c>
    </row>
    <row r="36" spans="1:91" x14ac:dyDescent="0.55000000000000004">
      <c r="A36" t="s">
        <v>240</v>
      </c>
      <c r="B36" t="s">
        <v>744</v>
      </c>
      <c r="C36" s="3">
        <v>1</v>
      </c>
      <c r="E36" t="s">
        <v>198</v>
      </c>
      <c r="F36">
        <v>4</v>
      </c>
      <c r="G36" t="s">
        <v>84</v>
      </c>
      <c r="H36" s="3">
        <v>4.7669656080302776</v>
      </c>
      <c r="I36" s="3" t="s">
        <v>74</v>
      </c>
      <c r="J36" s="3">
        <v>0.2</v>
      </c>
      <c r="K36" s="3">
        <v>7.25</v>
      </c>
      <c r="L36" s="3">
        <v>0.25</v>
      </c>
      <c r="O36" s="3">
        <v>100</v>
      </c>
      <c r="P36" s="3">
        <v>20.977705362829386</v>
      </c>
      <c r="R36" s="3">
        <v>10</v>
      </c>
      <c r="S36" s="4">
        <v>44945</v>
      </c>
      <c r="T36" s="3" t="s">
        <v>199</v>
      </c>
      <c r="U36" s="3" t="s">
        <v>200</v>
      </c>
      <c r="V36">
        <v>15</v>
      </c>
      <c r="W36" t="s">
        <v>76</v>
      </c>
      <c r="X36">
        <v>16</v>
      </c>
      <c r="Y36" t="s">
        <v>76</v>
      </c>
      <c r="Z36">
        <v>8</v>
      </c>
      <c r="AA36" t="s">
        <v>76</v>
      </c>
      <c r="AB36" t="s">
        <v>201</v>
      </c>
      <c r="AC36" s="3" t="s">
        <v>78</v>
      </c>
      <c r="AD36" s="3">
        <v>5</v>
      </c>
      <c r="AE36">
        <v>8</v>
      </c>
      <c r="AF36" t="s">
        <v>76</v>
      </c>
      <c r="AG36" t="s">
        <v>700</v>
      </c>
      <c r="AH36" s="17" t="s">
        <v>701</v>
      </c>
      <c r="AI36" t="s">
        <v>674</v>
      </c>
      <c r="AJ36" s="18" t="s">
        <v>675</v>
      </c>
      <c r="AO36" s="3">
        <v>-2.6707485968365027E-2</v>
      </c>
      <c r="AP36" s="3">
        <v>37</v>
      </c>
      <c r="AQ36" s="3">
        <f t="shared" si="0"/>
        <v>-0.988176980829506</v>
      </c>
      <c r="BE36" s="3" t="s">
        <v>185</v>
      </c>
      <c r="BF36" s="3" t="s">
        <v>186</v>
      </c>
      <c r="BG36" s="3" t="s">
        <v>186</v>
      </c>
      <c r="BH36" s="3" t="s">
        <v>186</v>
      </c>
      <c r="BI36" s="3" t="s">
        <v>186</v>
      </c>
      <c r="BJ36" s="3" t="s">
        <v>186</v>
      </c>
      <c r="BK36" s="3" t="s">
        <v>186</v>
      </c>
      <c r="BL36" s="3" t="s">
        <v>186</v>
      </c>
      <c r="BM36" s="3" t="s">
        <v>186</v>
      </c>
      <c r="BN36" s="3" t="s">
        <v>186</v>
      </c>
      <c r="BO36" s="3" t="s">
        <v>186</v>
      </c>
      <c r="BP36" s="3" t="s">
        <v>186</v>
      </c>
      <c r="BQ36" s="3" t="s">
        <v>186</v>
      </c>
      <c r="BR36" s="3" t="s">
        <v>186</v>
      </c>
      <c r="BS36" s="3" t="s">
        <v>186</v>
      </c>
      <c r="BT36" s="3" t="s">
        <v>186</v>
      </c>
      <c r="BU36" s="3" t="s">
        <v>186</v>
      </c>
      <c r="BV36" s="3" t="s">
        <v>186</v>
      </c>
      <c r="BW36" s="3" t="s">
        <v>186</v>
      </c>
      <c r="BX36" s="21" t="s">
        <v>186</v>
      </c>
      <c r="BY36" s="3" t="s">
        <v>186</v>
      </c>
      <c r="BZ36" s="3" t="s">
        <v>186</v>
      </c>
      <c r="CA36" s="3" t="s">
        <v>186</v>
      </c>
      <c r="CB36" s="3" t="s">
        <v>186</v>
      </c>
      <c r="CC36" s="3" t="s">
        <v>186</v>
      </c>
      <c r="CD36" s="3" t="s">
        <v>186</v>
      </c>
      <c r="CE36" s="21" t="s">
        <v>186</v>
      </c>
      <c r="CF36" s="21" t="s">
        <v>186</v>
      </c>
      <c r="CG36" s="3" t="s">
        <v>186</v>
      </c>
      <c r="CH36" s="3" t="s">
        <v>186</v>
      </c>
      <c r="CI36" s="3" t="s">
        <v>186</v>
      </c>
      <c r="CJ36" s="3" t="s">
        <v>186</v>
      </c>
      <c r="CK36" s="3" t="s">
        <v>186</v>
      </c>
      <c r="CL36" s="3" t="s">
        <v>186</v>
      </c>
      <c r="CM36" s="32" t="str">
        <f t="shared" si="2"/>
        <v/>
      </c>
    </row>
    <row r="37" spans="1:91" x14ac:dyDescent="0.55000000000000004">
      <c r="A37" t="s">
        <v>241</v>
      </c>
      <c r="B37" t="s">
        <v>745</v>
      </c>
      <c r="C37" s="3">
        <v>1</v>
      </c>
      <c r="E37" t="s">
        <v>198</v>
      </c>
      <c r="F37">
        <v>5</v>
      </c>
      <c r="G37" t="s">
        <v>84</v>
      </c>
      <c r="H37" s="3">
        <v>3.2168380779990127</v>
      </c>
      <c r="I37" s="3" t="s">
        <v>74</v>
      </c>
      <c r="J37" s="3">
        <v>0.2</v>
      </c>
      <c r="K37" s="3">
        <v>7.25</v>
      </c>
      <c r="L37" s="3">
        <v>0.25</v>
      </c>
      <c r="O37" s="3">
        <v>100</v>
      </c>
      <c r="P37" s="3">
        <v>31.086426352613788</v>
      </c>
      <c r="R37" s="3">
        <v>10</v>
      </c>
      <c r="S37" s="4">
        <v>44945</v>
      </c>
      <c r="T37" s="3" t="s">
        <v>199</v>
      </c>
      <c r="U37" s="3" t="s">
        <v>200</v>
      </c>
      <c r="V37">
        <v>15</v>
      </c>
      <c r="W37" t="s">
        <v>83</v>
      </c>
      <c r="X37">
        <v>16</v>
      </c>
      <c r="Y37" t="s">
        <v>83</v>
      </c>
      <c r="Z37">
        <v>8</v>
      </c>
      <c r="AA37" t="s">
        <v>83</v>
      </c>
      <c r="AB37" t="s">
        <v>201</v>
      </c>
      <c r="AC37" s="3" t="s">
        <v>78</v>
      </c>
      <c r="AD37" s="3">
        <v>5</v>
      </c>
      <c r="AE37">
        <v>8</v>
      </c>
      <c r="AF37" t="s">
        <v>83</v>
      </c>
      <c r="AG37" t="s">
        <v>682</v>
      </c>
      <c r="AH37" s="17" t="s">
        <v>683</v>
      </c>
      <c r="AI37" t="s">
        <v>674</v>
      </c>
      <c r="AJ37" s="18" t="s">
        <v>675</v>
      </c>
      <c r="AO37" s="3">
        <v>2.3616881696916673E-2</v>
      </c>
      <c r="AP37" s="3">
        <v>37</v>
      </c>
      <c r="AQ37" s="3">
        <f t="shared" si="0"/>
        <v>0.87382462278591688</v>
      </c>
      <c r="BE37" s="3" t="s">
        <v>185</v>
      </c>
      <c r="BF37" s="3" t="s">
        <v>186</v>
      </c>
      <c r="BG37" s="3" t="s">
        <v>186</v>
      </c>
      <c r="BH37" s="3" t="s">
        <v>186</v>
      </c>
      <c r="BI37" s="3" t="s">
        <v>186</v>
      </c>
      <c r="BJ37" s="3" t="s">
        <v>186</v>
      </c>
      <c r="BK37" s="3" t="s">
        <v>186</v>
      </c>
      <c r="BL37" s="3" t="s">
        <v>186</v>
      </c>
      <c r="BM37" s="3" t="s">
        <v>186</v>
      </c>
      <c r="BN37" s="3" t="s">
        <v>186</v>
      </c>
      <c r="BO37" s="3" t="s">
        <v>186</v>
      </c>
      <c r="BP37" s="3" t="s">
        <v>186</v>
      </c>
      <c r="BQ37" s="3" t="s">
        <v>186</v>
      </c>
      <c r="BR37" s="3" t="s">
        <v>186</v>
      </c>
      <c r="BS37" s="3" t="s">
        <v>186</v>
      </c>
      <c r="BT37" s="3" t="s">
        <v>186</v>
      </c>
      <c r="BU37" s="3" t="s">
        <v>186</v>
      </c>
      <c r="BV37" s="3" t="s">
        <v>186</v>
      </c>
      <c r="BW37" s="3" t="s">
        <v>186</v>
      </c>
      <c r="BX37" s="21" t="s">
        <v>186</v>
      </c>
      <c r="BY37" s="3" t="s">
        <v>186</v>
      </c>
      <c r="BZ37" s="3" t="s">
        <v>186</v>
      </c>
      <c r="CA37" s="3" t="s">
        <v>186</v>
      </c>
      <c r="CB37" s="3" t="s">
        <v>186</v>
      </c>
      <c r="CC37" s="3" t="s">
        <v>186</v>
      </c>
      <c r="CD37" s="3" t="s">
        <v>186</v>
      </c>
      <c r="CE37" s="21" t="s">
        <v>186</v>
      </c>
      <c r="CF37" s="21" t="s">
        <v>186</v>
      </c>
      <c r="CG37" s="3" t="s">
        <v>186</v>
      </c>
      <c r="CH37" s="3" t="s">
        <v>186</v>
      </c>
      <c r="CI37" s="3" t="s">
        <v>186</v>
      </c>
      <c r="CJ37" s="3" t="s">
        <v>186</v>
      </c>
      <c r="CK37" s="3" t="s">
        <v>186</v>
      </c>
      <c r="CL37" s="3" t="s">
        <v>186</v>
      </c>
      <c r="CM37" s="32" t="str">
        <f t="shared" si="2"/>
        <v/>
      </c>
    </row>
    <row r="38" spans="1:91" x14ac:dyDescent="0.55000000000000004">
      <c r="A38" t="s">
        <v>242</v>
      </c>
      <c r="B38" t="s">
        <v>746</v>
      </c>
      <c r="C38" s="3">
        <v>1</v>
      </c>
      <c r="E38" t="s">
        <v>198</v>
      </c>
      <c r="F38">
        <v>6</v>
      </c>
      <c r="G38" t="s">
        <v>84</v>
      </c>
      <c r="H38" s="3">
        <v>13.592817179529373</v>
      </c>
      <c r="I38" s="3" t="s">
        <v>74</v>
      </c>
      <c r="J38" s="3">
        <v>0.2</v>
      </c>
      <c r="K38" s="3">
        <v>7.25</v>
      </c>
      <c r="L38" s="3">
        <v>0.25</v>
      </c>
      <c r="O38" s="3">
        <v>100</v>
      </c>
      <c r="P38" s="3">
        <v>7.3568266739141359</v>
      </c>
      <c r="R38" s="3">
        <v>10</v>
      </c>
      <c r="S38" s="4">
        <v>44945</v>
      </c>
      <c r="T38" s="3" t="s">
        <v>199</v>
      </c>
      <c r="U38" s="3" t="s">
        <v>200</v>
      </c>
      <c r="V38">
        <v>15</v>
      </c>
      <c r="W38" t="s">
        <v>84</v>
      </c>
      <c r="X38">
        <v>16</v>
      </c>
      <c r="Y38" t="s">
        <v>84</v>
      </c>
      <c r="Z38">
        <v>8</v>
      </c>
      <c r="AA38" t="s">
        <v>84</v>
      </c>
      <c r="AB38" t="s">
        <v>201</v>
      </c>
      <c r="AC38" s="3" t="s">
        <v>78</v>
      </c>
      <c r="AD38" s="3">
        <v>5</v>
      </c>
      <c r="AE38">
        <v>8</v>
      </c>
      <c r="AF38" t="s">
        <v>84</v>
      </c>
      <c r="AG38" t="s">
        <v>686</v>
      </c>
      <c r="AH38" s="17" t="s">
        <v>687</v>
      </c>
      <c r="AI38" t="s">
        <v>674</v>
      </c>
      <c r="AJ38" s="18" t="s">
        <v>675</v>
      </c>
      <c r="AO38" s="3">
        <v>-7.0661126904293339E-2</v>
      </c>
      <c r="AP38" s="3">
        <v>37</v>
      </c>
      <c r="AQ38" s="3">
        <f t="shared" si="0"/>
        <v>-2.6144616954588535</v>
      </c>
      <c r="BE38" s="3" t="s">
        <v>185</v>
      </c>
      <c r="BF38" s="3" t="s">
        <v>186</v>
      </c>
      <c r="BG38" s="3" t="s">
        <v>186</v>
      </c>
      <c r="BH38" s="3" t="s">
        <v>186</v>
      </c>
      <c r="BI38" s="3" t="s">
        <v>186</v>
      </c>
      <c r="BJ38" s="3" t="s">
        <v>186</v>
      </c>
      <c r="BK38" s="3" t="s">
        <v>186</v>
      </c>
      <c r="BL38" s="3" t="s">
        <v>186</v>
      </c>
      <c r="BM38" s="3" t="s">
        <v>186</v>
      </c>
      <c r="BN38" s="3" t="s">
        <v>186</v>
      </c>
      <c r="BO38" s="3" t="s">
        <v>186</v>
      </c>
      <c r="BP38" s="3" t="s">
        <v>186</v>
      </c>
      <c r="BQ38" s="3" t="s">
        <v>186</v>
      </c>
      <c r="BR38" s="3" t="s">
        <v>186</v>
      </c>
      <c r="BS38" s="3" t="s">
        <v>186</v>
      </c>
      <c r="BT38" s="3" t="s">
        <v>186</v>
      </c>
      <c r="BU38" s="3" t="s">
        <v>186</v>
      </c>
      <c r="BV38" s="3" t="s">
        <v>186</v>
      </c>
      <c r="BW38" s="3" t="s">
        <v>186</v>
      </c>
      <c r="BX38" s="21" t="s">
        <v>186</v>
      </c>
      <c r="BY38" s="3" t="s">
        <v>186</v>
      </c>
      <c r="BZ38" s="3" t="s">
        <v>186</v>
      </c>
      <c r="CA38" s="3" t="s">
        <v>186</v>
      </c>
      <c r="CB38" s="3" t="s">
        <v>186</v>
      </c>
      <c r="CC38" s="3" t="s">
        <v>186</v>
      </c>
      <c r="CD38" s="3" t="s">
        <v>186</v>
      </c>
      <c r="CE38" s="21" t="s">
        <v>186</v>
      </c>
      <c r="CF38" s="21" t="s">
        <v>186</v>
      </c>
      <c r="CG38" s="3" t="s">
        <v>186</v>
      </c>
      <c r="CH38" s="3" t="s">
        <v>186</v>
      </c>
      <c r="CI38" s="3" t="s">
        <v>186</v>
      </c>
      <c r="CJ38" s="3" t="s">
        <v>186</v>
      </c>
      <c r="CK38" s="3" t="s">
        <v>186</v>
      </c>
      <c r="CL38" s="3" t="s">
        <v>186</v>
      </c>
      <c r="CM38" s="32" t="str">
        <f t="shared" si="2"/>
        <v/>
      </c>
    </row>
    <row r="39" spans="1:91" x14ac:dyDescent="0.55000000000000004">
      <c r="A39" t="s">
        <v>243</v>
      </c>
      <c r="B39" t="s">
        <v>747</v>
      </c>
      <c r="C39" s="3">
        <v>1</v>
      </c>
      <c r="E39" t="s">
        <v>198</v>
      </c>
      <c r="F39">
        <v>7</v>
      </c>
      <c r="G39" t="s">
        <v>84</v>
      </c>
      <c r="H39" s="3">
        <v>18.946807635346389</v>
      </c>
      <c r="I39" s="3" t="s">
        <v>74</v>
      </c>
      <c r="J39" s="3">
        <v>0.2</v>
      </c>
      <c r="K39" s="3">
        <v>7.25</v>
      </c>
      <c r="L39" s="3">
        <v>0.25</v>
      </c>
      <c r="O39" s="3">
        <v>100</v>
      </c>
      <c r="P39" s="3">
        <v>5.277933988913472</v>
      </c>
      <c r="R39" s="3">
        <v>10</v>
      </c>
      <c r="S39" s="4">
        <v>44945</v>
      </c>
      <c r="T39" s="3" t="s">
        <v>199</v>
      </c>
      <c r="U39" s="3" t="s">
        <v>200</v>
      </c>
      <c r="V39">
        <v>15</v>
      </c>
      <c r="W39" t="s">
        <v>87</v>
      </c>
      <c r="X39">
        <v>16</v>
      </c>
      <c r="Y39" t="s">
        <v>87</v>
      </c>
      <c r="Z39">
        <v>8</v>
      </c>
      <c r="AA39" t="s">
        <v>87</v>
      </c>
      <c r="AB39" t="s">
        <v>201</v>
      </c>
      <c r="AC39" s="3" t="s">
        <v>78</v>
      </c>
      <c r="AD39" s="3">
        <v>5</v>
      </c>
      <c r="AE39">
        <v>8</v>
      </c>
      <c r="AF39" t="s">
        <v>87</v>
      </c>
      <c r="AG39" t="s">
        <v>688</v>
      </c>
      <c r="AH39" s="17" t="s">
        <v>689</v>
      </c>
      <c r="AI39" t="s">
        <v>674</v>
      </c>
      <c r="AJ39" s="18" t="s">
        <v>675</v>
      </c>
      <c r="AO39" s="3">
        <v>-4.8746264304978498E-2</v>
      </c>
      <c r="AP39" s="3">
        <v>37</v>
      </c>
      <c r="AQ39" s="3">
        <f t="shared" si="0"/>
        <v>-1.8036117792842044</v>
      </c>
      <c r="BE39" s="3" t="s">
        <v>185</v>
      </c>
      <c r="BF39" s="3" t="s">
        <v>186</v>
      </c>
      <c r="BG39" s="3" t="s">
        <v>186</v>
      </c>
      <c r="BH39" s="3" t="s">
        <v>186</v>
      </c>
      <c r="BI39" s="3" t="s">
        <v>186</v>
      </c>
      <c r="BJ39" s="3" t="s">
        <v>186</v>
      </c>
      <c r="BK39" s="3" t="s">
        <v>186</v>
      </c>
      <c r="BL39" s="3" t="s">
        <v>186</v>
      </c>
      <c r="BM39" s="3" t="s">
        <v>186</v>
      </c>
      <c r="BN39" s="3" t="s">
        <v>186</v>
      </c>
      <c r="BO39" s="3" t="s">
        <v>186</v>
      </c>
      <c r="BP39" s="3" t="s">
        <v>186</v>
      </c>
      <c r="BQ39" s="3" t="s">
        <v>186</v>
      </c>
      <c r="BR39" s="3" t="s">
        <v>186</v>
      </c>
      <c r="BS39" s="3" t="s">
        <v>186</v>
      </c>
      <c r="BT39" s="3" t="s">
        <v>186</v>
      </c>
      <c r="BU39" s="3" t="s">
        <v>186</v>
      </c>
      <c r="BV39" s="3" t="s">
        <v>186</v>
      </c>
      <c r="BW39" s="3" t="s">
        <v>186</v>
      </c>
      <c r="BX39" s="21" t="s">
        <v>186</v>
      </c>
      <c r="BY39" s="3" t="s">
        <v>186</v>
      </c>
      <c r="BZ39" s="3" t="s">
        <v>186</v>
      </c>
      <c r="CA39" s="3" t="s">
        <v>186</v>
      </c>
      <c r="CB39" s="3" t="s">
        <v>186</v>
      </c>
      <c r="CC39" s="3" t="s">
        <v>186</v>
      </c>
      <c r="CD39" s="3" t="s">
        <v>186</v>
      </c>
      <c r="CE39" s="21" t="s">
        <v>186</v>
      </c>
      <c r="CF39" s="21" t="s">
        <v>186</v>
      </c>
      <c r="CG39" s="3" t="s">
        <v>186</v>
      </c>
      <c r="CH39" s="3" t="s">
        <v>186</v>
      </c>
      <c r="CI39" s="3" t="s">
        <v>186</v>
      </c>
      <c r="CJ39" s="3" t="s">
        <v>186</v>
      </c>
      <c r="CK39" s="3" t="s">
        <v>186</v>
      </c>
      <c r="CL39" s="3" t="s">
        <v>186</v>
      </c>
      <c r="CM39" s="32" t="str">
        <f t="shared" si="2"/>
        <v/>
      </c>
    </row>
    <row r="40" spans="1:91" x14ac:dyDescent="0.55000000000000004">
      <c r="A40" t="s">
        <v>244</v>
      </c>
      <c r="B40" t="s">
        <v>748</v>
      </c>
      <c r="C40" s="3">
        <v>1</v>
      </c>
      <c r="E40" t="s">
        <v>198</v>
      </c>
      <c r="F40">
        <v>8</v>
      </c>
      <c r="G40" t="s">
        <v>84</v>
      </c>
      <c r="H40" s="3">
        <v>30.829652789205198</v>
      </c>
      <c r="I40" s="3" t="s">
        <v>74</v>
      </c>
      <c r="J40" s="3">
        <v>0.2</v>
      </c>
      <c r="K40" s="3">
        <v>7.25</v>
      </c>
      <c r="L40" s="3">
        <v>0.25</v>
      </c>
      <c r="O40" s="3">
        <v>100</v>
      </c>
      <c r="P40" s="3">
        <v>3.2436304321602463</v>
      </c>
      <c r="R40" s="3">
        <v>10</v>
      </c>
      <c r="S40" s="4">
        <v>44945</v>
      </c>
      <c r="T40" s="3" t="s">
        <v>199</v>
      </c>
      <c r="U40" s="3" t="s">
        <v>200</v>
      </c>
      <c r="V40">
        <v>15</v>
      </c>
      <c r="W40" t="s">
        <v>88</v>
      </c>
      <c r="X40">
        <v>16</v>
      </c>
      <c r="Y40" t="s">
        <v>88</v>
      </c>
      <c r="Z40">
        <v>8</v>
      </c>
      <c r="AA40" t="s">
        <v>88</v>
      </c>
      <c r="AB40" t="s">
        <v>201</v>
      </c>
      <c r="AC40" s="3" t="s">
        <v>78</v>
      </c>
      <c r="AD40" s="3">
        <v>5</v>
      </c>
      <c r="AE40">
        <v>8</v>
      </c>
      <c r="AF40" t="s">
        <v>88</v>
      </c>
      <c r="AG40" t="s">
        <v>690</v>
      </c>
      <c r="AH40" s="17" t="s">
        <v>691</v>
      </c>
      <c r="AI40" t="s">
        <v>674</v>
      </c>
      <c r="AJ40" s="18" t="s">
        <v>675</v>
      </c>
      <c r="AO40" s="3">
        <v>-2.422552664188354E-2</v>
      </c>
      <c r="AP40" s="3">
        <v>37</v>
      </c>
      <c r="AQ40" s="3">
        <f t="shared" si="0"/>
        <v>-0.89634448574969094</v>
      </c>
      <c r="BE40" s="3" t="s">
        <v>185</v>
      </c>
      <c r="BF40" s="3" t="s">
        <v>186</v>
      </c>
      <c r="BG40" s="3" t="s">
        <v>186</v>
      </c>
      <c r="BH40" s="3" t="s">
        <v>186</v>
      </c>
      <c r="BI40" s="3" t="s">
        <v>186</v>
      </c>
      <c r="BJ40" s="3" t="s">
        <v>186</v>
      </c>
      <c r="BK40" s="3" t="s">
        <v>186</v>
      </c>
      <c r="BL40" s="3" t="s">
        <v>186</v>
      </c>
      <c r="BM40" s="3" t="s">
        <v>186</v>
      </c>
      <c r="BN40" s="3" t="s">
        <v>186</v>
      </c>
      <c r="BO40" s="3" t="s">
        <v>186</v>
      </c>
      <c r="BP40" s="3" t="s">
        <v>186</v>
      </c>
      <c r="BQ40" s="3" t="s">
        <v>186</v>
      </c>
      <c r="BR40" s="3" t="s">
        <v>186</v>
      </c>
      <c r="BS40" s="3" t="s">
        <v>186</v>
      </c>
      <c r="BT40" s="3" t="s">
        <v>186</v>
      </c>
      <c r="BU40" s="3" t="s">
        <v>186</v>
      </c>
      <c r="BV40" s="3" t="s">
        <v>186</v>
      </c>
      <c r="BW40" s="3" t="s">
        <v>186</v>
      </c>
      <c r="BX40" s="21" t="s">
        <v>186</v>
      </c>
      <c r="BY40" s="3" t="s">
        <v>186</v>
      </c>
      <c r="BZ40" s="3" t="s">
        <v>186</v>
      </c>
      <c r="CA40" s="3" t="s">
        <v>186</v>
      </c>
      <c r="CB40" s="3" t="s">
        <v>186</v>
      </c>
      <c r="CC40" s="3" t="s">
        <v>186</v>
      </c>
      <c r="CD40" s="3" t="s">
        <v>186</v>
      </c>
      <c r="CE40" s="21" t="s">
        <v>186</v>
      </c>
      <c r="CF40" s="21" t="s">
        <v>186</v>
      </c>
      <c r="CG40" s="3" t="s">
        <v>186</v>
      </c>
      <c r="CH40" s="3" t="s">
        <v>186</v>
      </c>
      <c r="CI40" s="3" t="s">
        <v>186</v>
      </c>
      <c r="CJ40" s="3" t="s">
        <v>186</v>
      </c>
      <c r="CK40" s="3" t="s">
        <v>186</v>
      </c>
      <c r="CL40" s="3" t="s">
        <v>186</v>
      </c>
      <c r="CM40" s="32" t="str">
        <f t="shared" si="2"/>
        <v/>
      </c>
    </row>
    <row r="41" spans="1:91" x14ac:dyDescent="0.55000000000000004">
      <c r="A41" t="s">
        <v>245</v>
      </c>
      <c r="B41" t="s">
        <v>749</v>
      </c>
      <c r="C41" s="3">
        <v>1</v>
      </c>
      <c r="E41" t="s">
        <v>198</v>
      </c>
      <c r="F41">
        <v>9</v>
      </c>
      <c r="G41" t="s">
        <v>84</v>
      </c>
      <c r="H41" s="3">
        <v>21.028792989962152</v>
      </c>
      <c r="I41" s="3" t="s">
        <v>74</v>
      </c>
      <c r="J41" s="3">
        <v>0.2</v>
      </c>
      <c r="K41" s="3">
        <v>7.25</v>
      </c>
      <c r="L41" s="3">
        <v>0.25</v>
      </c>
      <c r="O41" s="3">
        <v>100</v>
      </c>
      <c r="P41" s="3">
        <v>4.7553846788892651</v>
      </c>
      <c r="R41" s="3">
        <v>10</v>
      </c>
      <c r="S41" s="4">
        <v>44945</v>
      </c>
      <c r="T41" s="3" t="s">
        <v>199</v>
      </c>
      <c r="U41" s="3" t="s">
        <v>200</v>
      </c>
      <c r="V41">
        <v>15</v>
      </c>
      <c r="W41" t="s">
        <v>91</v>
      </c>
      <c r="X41">
        <v>16</v>
      </c>
      <c r="Y41" t="s">
        <v>91</v>
      </c>
      <c r="Z41">
        <v>8</v>
      </c>
      <c r="AA41" t="s">
        <v>91</v>
      </c>
      <c r="AB41" t="s">
        <v>201</v>
      </c>
      <c r="AC41" s="3" t="s">
        <v>78</v>
      </c>
      <c r="AD41" s="3">
        <v>5</v>
      </c>
      <c r="AE41">
        <v>8</v>
      </c>
      <c r="AF41" t="s">
        <v>91</v>
      </c>
      <c r="AG41" t="s">
        <v>692</v>
      </c>
      <c r="AH41" s="17" t="s">
        <v>693</v>
      </c>
      <c r="AI41" t="s">
        <v>674</v>
      </c>
      <c r="AJ41" s="18" t="s">
        <v>675</v>
      </c>
      <c r="AO41" s="3">
        <v>3.2214447117136814E-2</v>
      </c>
      <c r="AP41" s="3">
        <v>37</v>
      </c>
      <c r="AQ41" s="3">
        <f t="shared" si="0"/>
        <v>1.1919345433340622</v>
      </c>
      <c r="BE41" s="3" t="s">
        <v>185</v>
      </c>
      <c r="BF41" s="3" t="s">
        <v>186</v>
      </c>
      <c r="BG41" s="3" t="s">
        <v>186</v>
      </c>
      <c r="BH41" s="3" t="s">
        <v>186</v>
      </c>
      <c r="BI41" s="3" t="s">
        <v>186</v>
      </c>
      <c r="BJ41" s="3" t="s">
        <v>186</v>
      </c>
      <c r="BK41" s="3" t="s">
        <v>186</v>
      </c>
      <c r="BL41" s="3" t="s">
        <v>186</v>
      </c>
      <c r="BM41" s="3" t="s">
        <v>186</v>
      </c>
      <c r="BN41" s="3" t="s">
        <v>186</v>
      </c>
      <c r="BO41" s="3" t="s">
        <v>186</v>
      </c>
      <c r="BP41" s="3" t="s">
        <v>186</v>
      </c>
      <c r="BQ41" s="3" t="s">
        <v>186</v>
      </c>
      <c r="BR41" s="3" t="s">
        <v>186</v>
      </c>
      <c r="BS41" s="3" t="s">
        <v>186</v>
      </c>
      <c r="BT41" s="3" t="s">
        <v>186</v>
      </c>
      <c r="BU41" s="3" t="s">
        <v>186</v>
      </c>
      <c r="BV41" s="3" t="s">
        <v>186</v>
      </c>
      <c r="BW41" s="3" t="s">
        <v>186</v>
      </c>
      <c r="BX41" s="21" t="s">
        <v>186</v>
      </c>
      <c r="BY41" s="3" t="s">
        <v>186</v>
      </c>
      <c r="BZ41" s="3" t="s">
        <v>186</v>
      </c>
      <c r="CA41" s="3" t="s">
        <v>186</v>
      </c>
      <c r="CB41" s="3" t="s">
        <v>186</v>
      </c>
      <c r="CC41" s="3" t="s">
        <v>186</v>
      </c>
      <c r="CD41" s="3" t="s">
        <v>186</v>
      </c>
      <c r="CE41" s="21" t="s">
        <v>186</v>
      </c>
      <c r="CF41" s="21" t="s">
        <v>186</v>
      </c>
      <c r="CG41" s="3" t="s">
        <v>186</v>
      </c>
      <c r="CH41" s="3" t="s">
        <v>186</v>
      </c>
      <c r="CI41" s="3" t="s">
        <v>186</v>
      </c>
      <c r="CJ41" s="3" t="s">
        <v>186</v>
      </c>
      <c r="CK41" s="3" t="s">
        <v>186</v>
      </c>
      <c r="CL41" s="3" t="s">
        <v>186</v>
      </c>
      <c r="CM41" s="32" t="str">
        <f t="shared" si="2"/>
        <v/>
      </c>
    </row>
    <row r="42" spans="1:91" x14ac:dyDescent="0.55000000000000004">
      <c r="A42" t="s">
        <v>246</v>
      </c>
      <c r="B42" t="s">
        <v>750</v>
      </c>
      <c r="C42" s="3">
        <v>1</v>
      </c>
      <c r="E42" t="s">
        <v>198</v>
      </c>
      <c r="F42">
        <v>10</v>
      </c>
      <c r="G42" t="s">
        <v>84</v>
      </c>
      <c r="H42" s="3">
        <v>41.680438538752668</v>
      </c>
      <c r="I42" s="3" t="s">
        <v>74</v>
      </c>
      <c r="J42" s="3">
        <v>0.2</v>
      </c>
      <c r="K42" s="3">
        <v>7.25</v>
      </c>
      <c r="L42" s="3">
        <v>0.25</v>
      </c>
      <c r="O42" s="3">
        <v>100</v>
      </c>
      <c r="P42" s="3">
        <v>2.3992070022733643</v>
      </c>
      <c r="R42" s="3">
        <v>10</v>
      </c>
      <c r="S42" s="4">
        <v>44945</v>
      </c>
      <c r="T42" s="3" t="s">
        <v>199</v>
      </c>
      <c r="U42" s="3" t="s">
        <v>200</v>
      </c>
      <c r="V42">
        <v>15</v>
      </c>
      <c r="W42" t="s">
        <v>92</v>
      </c>
      <c r="X42">
        <v>16</v>
      </c>
      <c r="Y42" t="s">
        <v>92</v>
      </c>
      <c r="Z42">
        <v>8</v>
      </c>
      <c r="AA42" t="s">
        <v>92</v>
      </c>
      <c r="AB42" t="s">
        <v>201</v>
      </c>
      <c r="AC42" s="3" t="s">
        <v>78</v>
      </c>
      <c r="AD42" s="3">
        <v>5</v>
      </c>
      <c r="AE42">
        <v>8</v>
      </c>
      <c r="AF42" t="s">
        <v>92</v>
      </c>
      <c r="AG42" t="s">
        <v>694</v>
      </c>
      <c r="AH42" s="17" t="s">
        <v>695</v>
      </c>
      <c r="AI42" t="s">
        <v>674</v>
      </c>
      <c r="AJ42" s="18" t="s">
        <v>675</v>
      </c>
      <c r="AO42" s="3">
        <v>1.5861214374225538E-2</v>
      </c>
      <c r="AP42" s="3">
        <v>37</v>
      </c>
      <c r="AQ42" s="3">
        <f t="shared" si="0"/>
        <v>0.58686493184634492</v>
      </c>
      <c r="BE42" s="3" t="s">
        <v>185</v>
      </c>
      <c r="BF42" s="3" t="s">
        <v>186</v>
      </c>
      <c r="BG42" s="3" t="s">
        <v>186</v>
      </c>
      <c r="BH42" s="3" t="s">
        <v>186</v>
      </c>
      <c r="BI42" s="3" t="s">
        <v>186</v>
      </c>
      <c r="BJ42" s="3" t="s">
        <v>186</v>
      </c>
      <c r="BK42" s="3" t="s">
        <v>186</v>
      </c>
      <c r="BL42" s="3" t="s">
        <v>186</v>
      </c>
      <c r="BM42" s="3" t="s">
        <v>186</v>
      </c>
      <c r="BN42" s="3" t="s">
        <v>186</v>
      </c>
      <c r="BO42" s="3" t="s">
        <v>186</v>
      </c>
      <c r="BP42" s="3" t="s">
        <v>186</v>
      </c>
      <c r="BQ42" s="3" t="s">
        <v>186</v>
      </c>
      <c r="BR42" s="3" t="s">
        <v>186</v>
      </c>
      <c r="BS42" s="3" t="s">
        <v>186</v>
      </c>
      <c r="BT42" s="3" t="s">
        <v>186</v>
      </c>
      <c r="BU42" s="3" t="s">
        <v>186</v>
      </c>
      <c r="BV42" s="3" t="s">
        <v>186</v>
      </c>
      <c r="BW42" s="3" t="s">
        <v>186</v>
      </c>
      <c r="BX42" s="21" t="s">
        <v>186</v>
      </c>
      <c r="BY42" s="3" t="s">
        <v>186</v>
      </c>
      <c r="BZ42" s="3" t="s">
        <v>186</v>
      </c>
      <c r="CA42" s="3" t="s">
        <v>186</v>
      </c>
      <c r="CB42" s="3" t="s">
        <v>186</v>
      </c>
      <c r="CC42" s="3" t="s">
        <v>186</v>
      </c>
      <c r="CD42" s="3" t="s">
        <v>186</v>
      </c>
      <c r="CE42" s="21" t="s">
        <v>186</v>
      </c>
      <c r="CF42" s="21" t="s">
        <v>186</v>
      </c>
      <c r="CG42" s="3" t="s">
        <v>186</v>
      </c>
      <c r="CH42" s="3" t="s">
        <v>186</v>
      </c>
      <c r="CI42" s="3" t="s">
        <v>186</v>
      </c>
      <c r="CJ42" s="3" t="s">
        <v>186</v>
      </c>
      <c r="CK42" s="3" t="s">
        <v>186</v>
      </c>
      <c r="CL42" s="3" t="s">
        <v>186</v>
      </c>
      <c r="CM42" s="32" t="str">
        <f t="shared" si="2"/>
        <v/>
      </c>
    </row>
    <row r="43" spans="1:91" x14ac:dyDescent="0.55000000000000004">
      <c r="A43" t="s">
        <v>247</v>
      </c>
      <c r="B43" t="s">
        <v>751</v>
      </c>
      <c r="C43" s="3">
        <v>1</v>
      </c>
      <c r="E43" t="s">
        <v>198</v>
      </c>
      <c r="F43">
        <v>11</v>
      </c>
      <c r="G43" t="s">
        <v>84</v>
      </c>
      <c r="H43" s="3">
        <v>27.608910646700675</v>
      </c>
      <c r="I43" s="3" t="s">
        <v>74</v>
      </c>
      <c r="J43" s="3">
        <v>0.2</v>
      </c>
      <c r="K43" s="3">
        <v>7.25</v>
      </c>
      <c r="L43" s="3">
        <v>0.25</v>
      </c>
      <c r="O43" s="3">
        <v>100</v>
      </c>
      <c r="P43" s="3">
        <v>3.6220190386957634</v>
      </c>
      <c r="R43" s="3">
        <v>10</v>
      </c>
      <c r="S43" s="4">
        <v>44945</v>
      </c>
      <c r="T43" s="3" t="s">
        <v>199</v>
      </c>
      <c r="U43" s="3" t="s">
        <v>200</v>
      </c>
      <c r="V43">
        <v>17</v>
      </c>
      <c r="W43" t="s">
        <v>73</v>
      </c>
      <c r="X43">
        <v>18</v>
      </c>
      <c r="Y43" t="s">
        <v>73</v>
      </c>
      <c r="Z43">
        <v>9</v>
      </c>
      <c r="AA43" t="s">
        <v>73</v>
      </c>
      <c r="AB43" t="s">
        <v>201</v>
      </c>
      <c r="AC43" s="3" t="s">
        <v>78</v>
      </c>
      <c r="AD43" s="3">
        <v>5</v>
      </c>
      <c r="AE43">
        <v>9</v>
      </c>
      <c r="AF43" t="s">
        <v>73</v>
      </c>
      <c r="AG43" t="s">
        <v>696</v>
      </c>
      <c r="AH43" s="17" t="s">
        <v>697</v>
      </c>
      <c r="AI43" t="s">
        <v>676</v>
      </c>
      <c r="AJ43" s="18" t="s">
        <v>677</v>
      </c>
      <c r="AO43" s="3">
        <v>0.12262555579852759</v>
      </c>
      <c r="AP43" s="3">
        <v>37</v>
      </c>
      <c r="AQ43" s="3">
        <f t="shared" si="0"/>
        <v>4.5371455645455212</v>
      </c>
      <c r="BE43" s="3" t="s">
        <v>185</v>
      </c>
      <c r="BF43" s="3" t="s">
        <v>186</v>
      </c>
      <c r="BG43" s="3" t="s">
        <v>186</v>
      </c>
      <c r="BH43" s="3" t="s">
        <v>186</v>
      </c>
      <c r="BI43" s="3" t="s">
        <v>186</v>
      </c>
      <c r="BJ43" s="3" t="s">
        <v>186</v>
      </c>
      <c r="BK43" s="3" t="s">
        <v>186</v>
      </c>
      <c r="BL43" s="3" t="s">
        <v>186</v>
      </c>
      <c r="BM43" s="3" t="s">
        <v>186</v>
      </c>
      <c r="BN43" s="3" t="s">
        <v>186</v>
      </c>
      <c r="BO43" s="3" t="s">
        <v>186</v>
      </c>
      <c r="BP43" s="3" t="s">
        <v>186</v>
      </c>
      <c r="BQ43" s="3" t="s">
        <v>186</v>
      </c>
      <c r="BR43" s="3" t="s">
        <v>186</v>
      </c>
      <c r="BS43" s="3" t="s">
        <v>186</v>
      </c>
      <c r="BT43" s="3" t="s">
        <v>186</v>
      </c>
      <c r="BU43" s="3" t="s">
        <v>186</v>
      </c>
      <c r="BV43" s="3" t="s">
        <v>186</v>
      </c>
      <c r="BW43" s="3" t="s">
        <v>186</v>
      </c>
      <c r="BX43" s="21" t="s">
        <v>186</v>
      </c>
      <c r="BY43" s="3" t="s">
        <v>186</v>
      </c>
      <c r="BZ43" s="3" t="s">
        <v>186</v>
      </c>
      <c r="CA43" s="3" t="s">
        <v>186</v>
      </c>
      <c r="CB43" s="3" t="s">
        <v>186</v>
      </c>
      <c r="CC43" s="3" t="s">
        <v>186</v>
      </c>
      <c r="CD43" s="3" t="s">
        <v>186</v>
      </c>
      <c r="CE43" s="21" t="s">
        <v>186</v>
      </c>
      <c r="CF43" s="21" t="s">
        <v>186</v>
      </c>
      <c r="CG43" s="3" t="s">
        <v>186</v>
      </c>
      <c r="CH43" s="3" t="s">
        <v>186</v>
      </c>
      <c r="CI43" s="3" t="s">
        <v>186</v>
      </c>
      <c r="CJ43" s="3" t="s">
        <v>186</v>
      </c>
      <c r="CK43" s="3" t="s">
        <v>186</v>
      </c>
      <c r="CL43" s="3" t="s">
        <v>186</v>
      </c>
      <c r="CM43" s="32" t="str">
        <f t="shared" si="2"/>
        <v/>
      </c>
    </row>
    <row r="44" spans="1:91" x14ac:dyDescent="0.55000000000000004">
      <c r="A44" t="s">
        <v>248</v>
      </c>
      <c r="B44" t="s">
        <v>752</v>
      </c>
      <c r="C44" s="3">
        <v>1</v>
      </c>
      <c r="E44" t="s">
        <v>198</v>
      </c>
      <c r="F44">
        <v>12</v>
      </c>
      <c r="G44" t="s">
        <v>84</v>
      </c>
      <c r="H44" s="3">
        <v>45.800098732927424</v>
      </c>
      <c r="I44" s="3" t="s">
        <v>74</v>
      </c>
      <c r="J44" s="3">
        <v>0.2</v>
      </c>
      <c r="K44" s="3">
        <v>7.25</v>
      </c>
      <c r="L44" s="3">
        <v>0.25</v>
      </c>
      <c r="O44" s="3">
        <v>100</v>
      </c>
      <c r="P44" s="3">
        <v>2.1834014066896805</v>
      </c>
      <c r="R44" s="3">
        <v>10</v>
      </c>
      <c r="S44" s="4">
        <v>44945</v>
      </c>
      <c r="T44" s="3" t="s">
        <v>199</v>
      </c>
      <c r="U44" s="3" t="s">
        <v>200</v>
      </c>
      <c r="V44">
        <v>17</v>
      </c>
      <c r="W44" t="s">
        <v>76</v>
      </c>
      <c r="X44">
        <v>18</v>
      </c>
      <c r="Y44" t="s">
        <v>76</v>
      </c>
      <c r="Z44">
        <v>9</v>
      </c>
      <c r="AA44" t="s">
        <v>76</v>
      </c>
      <c r="AB44" t="s">
        <v>201</v>
      </c>
      <c r="AC44" s="3" t="s">
        <v>78</v>
      </c>
      <c r="AD44" s="3">
        <v>5</v>
      </c>
      <c r="AE44">
        <v>9</v>
      </c>
      <c r="AF44" t="s">
        <v>76</v>
      </c>
      <c r="AG44" t="s">
        <v>700</v>
      </c>
      <c r="AH44" s="17" t="s">
        <v>701</v>
      </c>
      <c r="AI44" t="s">
        <v>676</v>
      </c>
      <c r="AJ44" s="18" t="s">
        <v>677</v>
      </c>
      <c r="AO44" s="3">
        <v>3.5800714337779718E-2</v>
      </c>
      <c r="AP44" s="3">
        <v>37</v>
      </c>
      <c r="AQ44" s="3">
        <f t="shared" si="0"/>
        <v>1.3246264304978497</v>
      </c>
      <c r="BE44" s="3" t="s">
        <v>185</v>
      </c>
      <c r="BF44" s="3" t="s">
        <v>186</v>
      </c>
      <c r="BG44" s="3" t="s">
        <v>186</v>
      </c>
      <c r="BH44" s="3" t="s">
        <v>186</v>
      </c>
      <c r="BI44" s="3" t="s">
        <v>186</v>
      </c>
      <c r="BJ44" s="3" t="s">
        <v>186</v>
      </c>
      <c r="BK44" s="3" t="s">
        <v>186</v>
      </c>
      <c r="BL44" s="3" t="s">
        <v>186</v>
      </c>
      <c r="BM44" s="3" t="s">
        <v>186</v>
      </c>
      <c r="BN44" s="3" t="s">
        <v>186</v>
      </c>
      <c r="BO44" s="3" t="s">
        <v>186</v>
      </c>
      <c r="BP44" s="3" t="s">
        <v>186</v>
      </c>
      <c r="BQ44" s="3" t="s">
        <v>186</v>
      </c>
      <c r="BR44" s="3" t="s">
        <v>186</v>
      </c>
      <c r="BS44" s="3" t="s">
        <v>186</v>
      </c>
      <c r="BT44" s="3" t="s">
        <v>186</v>
      </c>
      <c r="BU44" s="3" t="s">
        <v>186</v>
      </c>
      <c r="BV44" s="3" t="s">
        <v>186</v>
      </c>
      <c r="BW44" s="3" t="s">
        <v>186</v>
      </c>
      <c r="BX44" s="21" t="s">
        <v>186</v>
      </c>
      <c r="BY44" s="3" t="s">
        <v>186</v>
      </c>
      <c r="BZ44" s="3" t="s">
        <v>186</v>
      </c>
      <c r="CA44" s="3" t="s">
        <v>186</v>
      </c>
      <c r="CB44" s="3" t="s">
        <v>186</v>
      </c>
      <c r="CC44" s="3" t="s">
        <v>186</v>
      </c>
      <c r="CD44" s="3" t="s">
        <v>186</v>
      </c>
      <c r="CE44" s="21" t="s">
        <v>186</v>
      </c>
      <c r="CF44" s="21" t="s">
        <v>186</v>
      </c>
      <c r="CG44" s="3" t="s">
        <v>186</v>
      </c>
      <c r="CH44" s="3" t="s">
        <v>186</v>
      </c>
      <c r="CI44" s="3" t="s">
        <v>186</v>
      </c>
      <c r="CJ44" s="3" t="s">
        <v>186</v>
      </c>
      <c r="CK44" s="3" t="s">
        <v>186</v>
      </c>
      <c r="CL44" s="3" t="s">
        <v>186</v>
      </c>
      <c r="CM44" s="32" t="str">
        <f t="shared" si="2"/>
        <v/>
      </c>
    </row>
    <row r="45" spans="1:91" x14ac:dyDescent="0.55000000000000004">
      <c r="A45" t="s">
        <v>249</v>
      </c>
      <c r="B45" t="s">
        <v>753</v>
      </c>
      <c r="C45" s="3">
        <v>1</v>
      </c>
      <c r="E45" t="s">
        <v>198</v>
      </c>
      <c r="F45">
        <v>1</v>
      </c>
      <c r="G45" t="s">
        <v>250</v>
      </c>
      <c r="H45" s="3">
        <v>22.564324502221492</v>
      </c>
      <c r="I45" s="3" t="s">
        <v>74</v>
      </c>
      <c r="J45" s="3">
        <v>0.2</v>
      </c>
      <c r="K45" s="3">
        <v>7.25</v>
      </c>
      <c r="L45" s="3">
        <v>0.25</v>
      </c>
      <c r="O45" s="3">
        <v>100</v>
      </c>
      <c r="P45" s="3">
        <v>4.4317745913534816</v>
      </c>
      <c r="R45" s="3">
        <v>10</v>
      </c>
      <c r="S45" s="4">
        <v>44945</v>
      </c>
      <c r="T45" s="3" t="s">
        <v>199</v>
      </c>
      <c r="U45" s="3" t="s">
        <v>200</v>
      </c>
      <c r="V45">
        <v>17</v>
      </c>
      <c r="W45" t="s">
        <v>83</v>
      </c>
      <c r="X45">
        <v>18</v>
      </c>
      <c r="Y45" t="s">
        <v>83</v>
      </c>
      <c r="Z45">
        <v>9</v>
      </c>
      <c r="AA45" t="s">
        <v>83</v>
      </c>
      <c r="AB45" t="s">
        <v>201</v>
      </c>
      <c r="AC45" s="3" t="s">
        <v>78</v>
      </c>
      <c r="AD45" s="3">
        <v>5</v>
      </c>
      <c r="AE45">
        <v>9</v>
      </c>
      <c r="AF45" t="s">
        <v>83</v>
      </c>
      <c r="AG45" t="s">
        <v>682</v>
      </c>
      <c r="AH45" s="17" t="s">
        <v>683</v>
      </c>
      <c r="AI45" t="s">
        <v>676</v>
      </c>
      <c r="AJ45" s="18" t="s">
        <v>677</v>
      </c>
      <c r="AO45" s="3">
        <v>3.6700925723449152E-3</v>
      </c>
      <c r="AP45" s="3">
        <v>37</v>
      </c>
      <c r="AQ45" s="3">
        <f t="shared" si="0"/>
        <v>0.13579342517676185</v>
      </c>
      <c r="BE45" s="3" t="s">
        <v>185</v>
      </c>
      <c r="BF45" s="3" t="s">
        <v>186</v>
      </c>
      <c r="BG45" s="3" t="s">
        <v>186</v>
      </c>
      <c r="BH45" s="3" t="s">
        <v>186</v>
      </c>
      <c r="BI45" s="3" t="s">
        <v>186</v>
      </c>
      <c r="BJ45" s="3" t="s">
        <v>186</v>
      </c>
      <c r="BK45" s="3" t="s">
        <v>186</v>
      </c>
      <c r="BL45" s="3" t="s">
        <v>186</v>
      </c>
      <c r="BM45" s="3" t="s">
        <v>186</v>
      </c>
      <c r="BN45" s="3" t="s">
        <v>186</v>
      </c>
      <c r="BO45" s="3" t="s">
        <v>186</v>
      </c>
      <c r="BP45" s="3" t="s">
        <v>186</v>
      </c>
      <c r="BQ45" s="3" t="s">
        <v>186</v>
      </c>
      <c r="BR45" s="3" t="s">
        <v>186</v>
      </c>
      <c r="BS45" s="3" t="s">
        <v>186</v>
      </c>
      <c r="BT45" s="3" t="s">
        <v>186</v>
      </c>
      <c r="BU45" s="3" t="s">
        <v>186</v>
      </c>
      <c r="BV45" s="3" t="s">
        <v>186</v>
      </c>
      <c r="BW45" s="3" t="s">
        <v>186</v>
      </c>
      <c r="BX45" s="21" t="s">
        <v>186</v>
      </c>
      <c r="BY45" s="3" t="s">
        <v>186</v>
      </c>
      <c r="BZ45" s="3" t="s">
        <v>186</v>
      </c>
      <c r="CA45" s="3" t="s">
        <v>186</v>
      </c>
      <c r="CB45" s="3" t="s">
        <v>186</v>
      </c>
      <c r="CC45" s="3" t="s">
        <v>186</v>
      </c>
      <c r="CD45" s="3" t="s">
        <v>186</v>
      </c>
      <c r="CE45" s="21" t="s">
        <v>186</v>
      </c>
      <c r="CF45" s="21" t="s">
        <v>186</v>
      </c>
      <c r="CG45" s="3" t="s">
        <v>186</v>
      </c>
      <c r="CH45" s="3" t="s">
        <v>186</v>
      </c>
      <c r="CI45" s="3" t="s">
        <v>186</v>
      </c>
      <c r="CJ45" s="3" t="s">
        <v>186</v>
      </c>
      <c r="CK45" s="3" t="s">
        <v>186</v>
      </c>
      <c r="CL45" s="3" t="s">
        <v>186</v>
      </c>
      <c r="CM45" s="32" t="str">
        <f t="shared" si="2"/>
        <v/>
      </c>
    </row>
    <row r="46" spans="1:91" x14ac:dyDescent="0.55000000000000004">
      <c r="A46" t="s">
        <v>251</v>
      </c>
      <c r="B46" t="s">
        <v>754</v>
      </c>
      <c r="C46" s="3">
        <v>1</v>
      </c>
      <c r="E46" t="s">
        <v>198</v>
      </c>
      <c r="F46">
        <v>2</v>
      </c>
      <c r="G46" t="s">
        <v>250</v>
      </c>
      <c r="H46" s="3">
        <v>15.542944709560638</v>
      </c>
      <c r="I46" s="3" t="s">
        <v>74</v>
      </c>
      <c r="J46" s="3">
        <v>0.2</v>
      </c>
      <c r="K46" s="3">
        <v>7.25</v>
      </c>
      <c r="L46" s="3">
        <v>0.25</v>
      </c>
      <c r="O46" s="3">
        <v>100</v>
      </c>
      <c r="P46" s="3">
        <v>6.433787282180119</v>
      </c>
      <c r="R46" s="3">
        <v>10</v>
      </c>
      <c r="S46" s="4">
        <v>44945</v>
      </c>
      <c r="T46" s="3" t="s">
        <v>199</v>
      </c>
      <c r="U46" s="3" t="s">
        <v>200</v>
      </c>
      <c r="V46">
        <v>17</v>
      </c>
      <c r="W46" t="s">
        <v>84</v>
      </c>
      <c r="X46">
        <v>18</v>
      </c>
      <c r="Y46" t="s">
        <v>84</v>
      </c>
      <c r="Z46">
        <v>9</v>
      </c>
      <c r="AA46" t="s">
        <v>84</v>
      </c>
      <c r="AB46" t="s">
        <v>201</v>
      </c>
      <c r="AC46" s="3" t="s">
        <v>78</v>
      </c>
      <c r="AD46" s="3">
        <v>5</v>
      </c>
      <c r="AE46">
        <v>9</v>
      </c>
      <c r="AF46" t="s">
        <v>84</v>
      </c>
      <c r="AG46" t="s">
        <v>686</v>
      </c>
      <c r="AH46" s="17" t="s">
        <v>687</v>
      </c>
      <c r="AI46" t="s">
        <v>676</v>
      </c>
      <c r="AJ46" s="18" t="s">
        <v>677</v>
      </c>
      <c r="AO46" s="3">
        <v>2.2731248633282318E-2</v>
      </c>
      <c r="AP46" s="3">
        <v>37</v>
      </c>
      <c r="AQ46" s="3">
        <f t="shared" si="0"/>
        <v>0.84105619943144572</v>
      </c>
      <c r="BE46" s="3" t="s">
        <v>185</v>
      </c>
      <c r="BF46" s="3" t="s">
        <v>186</v>
      </c>
      <c r="BG46" s="3" t="s">
        <v>186</v>
      </c>
      <c r="BH46" s="3" t="s">
        <v>186</v>
      </c>
      <c r="BI46" s="3" t="s">
        <v>186</v>
      </c>
      <c r="BJ46" s="3" t="s">
        <v>186</v>
      </c>
      <c r="BK46" s="3" t="s">
        <v>186</v>
      </c>
      <c r="BL46" s="3" t="s">
        <v>186</v>
      </c>
      <c r="BM46" s="3" t="s">
        <v>186</v>
      </c>
      <c r="BN46" s="3" t="s">
        <v>186</v>
      </c>
      <c r="BO46" s="3" t="s">
        <v>186</v>
      </c>
      <c r="BP46" s="3" t="s">
        <v>186</v>
      </c>
      <c r="BQ46" s="3" t="s">
        <v>186</v>
      </c>
      <c r="BR46" s="3" t="s">
        <v>186</v>
      </c>
      <c r="BS46" s="3" t="s">
        <v>186</v>
      </c>
      <c r="BT46" s="3" t="s">
        <v>186</v>
      </c>
      <c r="BU46" s="3" t="s">
        <v>186</v>
      </c>
      <c r="BV46" s="3" t="s">
        <v>186</v>
      </c>
      <c r="BW46" s="3" t="s">
        <v>186</v>
      </c>
      <c r="BX46" s="21" t="s">
        <v>186</v>
      </c>
      <c r="BY46" s="3" t="s">
        <v>186</v>
      </c>
      <c r="BZ46" s="3" t="s">
        <v>186</v>
      </c>
      <c r="CA46" s="3" t="s">
        <v>186</v>
      </c>
      <c r="CB46" s="3" t="s">
        <v>186</v>
      </c>
      <c r="CC46" s="3" t="s">
        <v>186</v>
      </c>
      <c r="CD46" s="3" t="s">
        <v>186</v>
      </c>
      <c r="CE46" s="21" t="s">
        <v>186</v>
      </c>
      <c r="CF46" s="21" t="s">
        <v>186</v>
      </c>
      <c r="CG46" s="3" t="s">
        <v>186</v>
      </c>
      <c r="CH46" s="3" t="s">
        <v>186</v>
      </c>
      <c r="CI46" s="3" t="s">
        <v>186</v>
      </c>
      <c r="CJ46" s="3" t="s">
        <v>186</v>
      </c>
      <c r="CK46" s="3" t="s">
        <v>186</v>
      </c>
      <c r="CL46" s="3" t="s">
        <v>186</v>
      </c>
      <c r="CM46" s="32" t="str">
        <f t="shared" si="2"/>
        <v/>
      </c>
    </row>
    <row r="47" spans="1:91" x14ac:dyDescent="0.55000000000000004">
      <c r="A47" t="s">
        <v>252</v>
      </c>
      <c r="B47" t="s">
        <v>755</v>
      </c>
      <c r="C47" s="3">
        <v>1</v>
      </c>
      <c r="E47" t="s">
        <v>198</v>
      </c>
      <c r="F47">
        <v>3</v>
      </c>
      <c r="G47" t="s">
        <v>250</v>
      </c>
      <c r="H47" s="3">
        <v>21.980668915583351</v>
      </c>
      <c r="I47" s="3" t="s">
        <v>74</v>
      </c>
      <c r="J47" s="3">
        <v>0.2</v>
      </c>
      <c r="K47" s="3">
        <v>7.25</v>
      </c>
      <c r="L47" s="3">
        <v>0.25</v>
      </c>
      <c r="O47" s="3">
        <v>100</v>
      </c>
      <c r="P47" s="3">
        <v>4.5494520837400128</v>
      </c>
      <c r="R47" s="3">
        <v>10</v>
      </c>
      <c r="S47" s="4">
        <v>44945</v>
      </c>
      <c r="T47" s="3" t="s">
        <v>199</v>
      </c>
      <c r="U47" s="3" t="s">
        <v>200</v>
      </c>
      <c r="V47">
        <v>17</v>
      </c>
      <c r="W47" t="s">
        <v>87</v>
      </c>
      <c r="X47">
        <v>18</v>
      </c>
      <c r="Y47" t="s">
        <v>87</v>
      </c>
      <c r="Z47">
        <v>9</v>
      </c>
      <c r="AA47" t="s">
        <v>87</v>
      </c>
      <c r="AB47" t="s">
        <v>201</v>
      </c>
      <c r="AC47" s="3" t="s">
        <v>78</v>
      </c>
      <c r="AD47" s="3">
        <v>5</v>
      </c>
      <c r="AE47">
        <v>9</v>
      </c>
      <c r="AF47" t="s">
        <v>87</v>
      </c>
      <c r="AG47" t="s">
        <v>688</v>
      </c>
      <c r="AH47" s="17" t="s">
        <v>689</v>
      </c>
      <c r="AI47" t="s">
        <v>676</v>
      </c>
      <c r="AJ47" s="18" t="s">
        <v>677</v>
      </c>
      <c r="AO47" s="3">
        <v>-3.3971134922370458E-2</v>
      </c>
      <c r="AP47" s="3">
        <v>37</v>
      </c>
      <c r="AQ47" s="3">
        <f t="shared" si="0"/>
        <v>-1.2569319921277069</v>
      </c>
      <c r="BE47" s="3" t="s">
        <v>185</v>
      </c>
      <c r="BF47" s="3" t="s">
        <v>186</v>
      </c>
      <c r="BG47" s="3" t="s">
        <v>186</v>
      </c>
      <c r="BH47" s="3" t="s">
        <v>186</v>
      </c>
      <c r="BI47" s="3" t="s">
        <v>186</v>
      </c>
      <c r="BJ47" s="3" t="s">
        <v>186</v>
      </c>
      <c r="BK47" s="3" t="s">
        <v>186</v>
      </c>
      <c r="BL47" s="3" t="s">
        <v>186</v>
      </c>
      <c r="BM47" s="3" t="s">
        <v>186</v>
      </c>
      <c r="BN47" s="3" t="s">
        <v>186</v>
      </c>
      <c r="BO47" s="3" t="s">
        <v>186</v>
      </c>
      <c r="BP47" s="3" t="s">
        <v>186</v>
      </c>
      <c r="BQ47" s="3" t="s">
        <v>186</v>
      </c>
      <c r="BR47" s="3" t="s">
        <v>186</v>
      </c>
      <c r="BS47" s="3" t="s">
        <v>186</v>
      </c>
      <c r="BT47" s="3" t="s">
        <v>186</v>
      </c>
      <c r="BU47" s="3" t="s">
        <v>186</v>
      </c>
      <c r="BV47" s="3" t="s">
        <v>186</v>
      </c>
      <c r="BW47" s="3" t="s">
        <v>186</v>
      </c>
      <c r="BX47" s="21" t="s">
        <v>186</v>
      </c>
      <c r="BY47" s="3" t="s">
        <v>186</v>
      </c>
      <c r="BZ47" s="3" t="s">
        <v>186</v>
      </c>
      <c r="CA47" s="3" t="s">
        <v>186</v>
      </c>
      <c r="CB47" s="3" t="s">
        <v>186</v>
      </c>
      <c r="CC47" s="3" t="s">
        <v>186</v>
      </c>
      <c r="CD47" s="3" t="s">
        <v>186</v>
      </c>
      <c r="CE47" s="21" t="s">
        <v>186</v>
      </c>
      <c r="CF47" s="21" t="s">
        <v>186</v>
      </c>
      <c r="CG47" s="3" t="s">
        <v>186</v>
      </c>
      <c r="CH47" s="3" t="s">
        <v>186</v>
      </c>
      <c r="CI47" s="3" t="s">
        <v>186</v>
      </c>
      <c r="CJ47" s="3" t="s">
        <v>186</v>
      </c>
      <c r="CK47" s="3" t="s">
        <v>186</v>
      </c>
      <c r="CL47" s="3" t="s">
        <v>186</v>
      </c>
      <c r="CM47" s="32" t="str">
        <f t="shared" si="2"/>
        <v/>
      </c>
    </row>
    <row r="48" spans="1:91" x14ac:dyDescent="0.55000000000000004">
      <c r="A48" t="s">
        <v>253</v>
      </c>
      <c r="B48" t="s">
        <v>756</v>
      </c>
      <c r="C48" s="3">
        <v>1</v>
      </c>
      <c r="E48" t="s">
        <v>198</v>
      </c>
      <c r="F48">
        <v>4</v>
      </c>
      <c r="G48" t="s">
        <v>250</v>
      </c>
      <c r="H48" s="3">
        <v>26.086559980253412</v>
      </c>
      <c r="I48" s="3" t="s">
        <v>74</v>
      </c>
      <c r="J48" s="3">
        <v>0.2</v>
      </c>
      <c r="K48" s="3">
        <v>7.25</v>
      </c>
      <c r="L48" s="3">
        <v>0.25</v>
      </c>
      <c r="O48" s="3">
        <v>100</v>
      </c>
      <c r="P48" s="3">
        <v>3.8333916037874065</v>
      </c>
      <c r="R48" s="3">
        <v>10</v>
      </c>
      <c r="S48" s="4">
        <v>44945</v>
      </c>
      <c r="T48" s="3" t="s">
        <v>199</v>
      </c>
      <c r="U48" s="3" t="s">
        <v>200</v>
      </c>
      <c r="V48">
        <v>17</v>
      </c>
      <c r="W48" t="s">
        <v>88</v>
      </c>
      <c r="X48">
        <v>18</v>
      </c>
      <c r="Y48" t="s">
        <v>88</v>
      </c>
      <c r="Z48">
        <v>9</v>
      </c>
      <c r="AA48" t="s">
        <v>88</v>
      </c>
      <c r="AB48" t="s">
        <v>201</v>
      </c>
      <c r="AC48" s="3" t="s">
        <v>78</v>
      </c>
      <c r="AD48" s="3">
        <v>5</v>
      </c>
      <c r="AE48">
        <v>9</v>
      </c>
      <c r="AF48" t="s">
        <v>88</v>
      </c>
      <c r="AG48" t="s">
        <v>690</v>
      </c>
      <c r="AH48" s="17" t="s">
        <v>691</v>
      </c>
      <c r="AI48" t="s">
        <v>676</v>
      </c>
      <c r="AJ48" s="18" t="s">
        <v>677</v>
      </c>
      <c r="AO48" s="3">
        <v>-3.4076827757125165E-2</v>
      </c>
      <c r="AP48" s="3">
        <v>37</v>
      </c>
      <c r="AQ48" s="3">
        <f t="shared" si="0"/>
        <v>-1.260842627013631</v>
      </c>
      <c r="BE48" s="3" t="s">
        <v>185</v>
      </c>
      <c r="BF48" s="3" t="s">
        <v>186</v>
      </c>
      <c r="BG48" s="3" t="s">
        <v>186</v>
      </c>
      <c r="BH48" s="3" t="s">
        <v>186</v>
      </c>
      <c r="BI48" s="3" t="s">
        <v>186</v>
      </c>
      <c r="BJ48" s="3" t="s">
        <v>186</v>
      </c>
      <c r="BK48" s="3" t="s">
        <v>186</v>
      </c>
      <c r="BL48" s="3" t="s">
        <v>186</v>
      </c>
      <c r="BM48" s="3" t="s">
        <v>186</v>
      </c>
      <c r="BN48" s="3" t="s">
        <v>186</v>
      </c>
      <c r="BO48" s="3" t="s">
        <v>186</v>
      </c>
      <c r="BP48" s="3" t="s">
        <v>186</v>
      </c>
      <c r="BQ48" s="3" t="s">
        <v>186</v>
      </c>
      <c r="BR48" s="3" t="s">
        <v>186</v>
      </c>
      <c r="BS48" s="3" t="s">
        <v>186</v>
      </c>
      <c r="BT48" s="3" t="s">
        <v>186</v>
      </c>
      <c r="BU48" s="3" t="s">
        <v>186</v>
      </c>
      <c r="BV48" s="3" t="s">
        <v>186</v>
      </c>
      <c r="BW48" s="3" t="s">
        <v>186</v>
      </c>
      <c r="BX48" s="21" t="s">
        <v>186</v>
      </c>
      <c r="BY48" s="3" t="s">
        <v>186</v>
      </c>
      <c r="BZ48" s="3" t="s">
        <v>186</v>
      </c>
      <c r="CA48" s="3" t="s">
        <v>186</v>
      </c>
      <c r="CB48" s="3" t="s">
        <v>186</v>
      </c>
      <c r="CC48" s="3" t="s">
        <v>186</v>
      </c>
      <c r="CD48" s="3" t="s">
        <v>186</v>
      </c>
      <c r="CE48" s="21" t="s">
        <v>186</v>
      </c>
      <c r="CF48" s="21" t="s">
        <v>186</v>
      </c>
      <c r="CG48" s="3" t="s">
        <v>186</v>
      </c>
      <c r="CH48" s="3" t="s">
        <v>186</v>
      </c>
      <c r="CI48" s="3" t="s">
        <v>186</v>
      </c>
      <c r="CJ48" s="3" t="s">
        <v>186</v>
      </c>
      <c r="CK48" s="3" t="s">
        <v>186</v>
      </c>
      <c r="CL48" s="3" t="s">
        <v>186</v>
      </c>
      <c r="CM48" s="32" t="str">
        <f t="shared" si="2"/>
        <v/>
      </c>
    </row>
    <row r="49" spans="1:91" x14ac:dyDescent="0.55000000000000004">
      <c r="A49" t="s">
        <v>254</v>
      </c>
      <c r="B49" t="s">
        <v>757</v>
      </c>
      <c r="C49" s="3">
        <v>1</v>
      </c>
      <c r="E49" t="s">
        <v>198</v>
      </c>
      <c r="F49">
        <v>5</v>
      </c>
      <c r="G49" t="s">
        <v>250</v>
      </c>
      <c r="H49" s="3">
        <v>21.001337008392301</v>
      </c>
      <c r="I49" s="3" t="s">
        <v>74</v>
      </c>
      <c r="J49" s="3">
        <v>0.2</v>
      </c>
      <c r="K49" s="3">
        <v>7.25</v>
      </c>
      <c r="L49" s="3">
        <v>0.25</v>
      </c>
      <c r="O49" s="3">
        <v>100</v>
      </c>
      <c r="P49" s="3">
        <v>4.7616016046997007</v>
      </c>
      <c r="R49" s="3">
        <v>10</v>
      </c>
      <c r="S49" s="4">
        <v>44945</v>
      </c>
      <c r="T49" s="3" t="s">
        <v>199</v>
      </c>
      <c r="U49" s="3" t="s">
        <v>200</v>
      </c>
      <c r="V49">
        <v>17</v>
      </c>
      <c r="W49" t="s">
        <v>91</v>
      </c>
      <c r="X49">
        <v>18</v>
      </c>
      <c r="Y49" t="s">
        <v>91</v>
      </c>
      <c r="Z49">
        <v>9</v>
      </c>
      <c r="AA49" t="s">
        <v>91</v>
      </c>
      <c r="AB49" t="s">
        <v>201</v>
      </c>
      <c r="AC49" s="3" t="s">
        <v>78</v>
      </c>
      <c r="AD49" s="3">
        <v>5</v>
      </c>
      <c r="AE49">
        <v>9</v>
      </c>
      <c r="AF49" t="s">
        <v>91</v>
      </c>
      <c r="AG49" t="s">
        <v>692</v>
      </c>
      <c r="AH49" s="17" t="s">
        <v>693</v>
      </c>
      <c r="AI49" t="s">
        <v>676</v>
      </c>
      <c r="AJ49" s="18" t="s">
        <v>677</v>
      </c>
      <c r="AO49" s="3">
        <v>4.1311320067060286E-2</v>
      </c>
      <c r="AP49" s="3">
        <v>37</v>
      </c>
      <c r="AQ49" s="3">
        <f t="shared" si="0"/>
        <v>1.5285188424812306</v>
      </c>
      <c r="BE49" s="3" t="s">
        <v>185</v>
      </c>
      <c r="BF49" s="3" t="s">
        <v>186</v>
      </c>
      <c r="BG49" s="3" t="s">
        <v>186</v>
      </c>
      <c r="BH49" s="3" t="s">
        <v>186</v>
      </c>
      <c r="BI49" s="3" t="s">
        <v>186</v>
      </c>
      <c r="BJ49" s="3" t="s">
        <v>186</v>
      </c>
      <c r="BK49" s="3" t="s">
        <v>186</v>
      </c>
      <c r="BL49" s="3" t="s">
        <v>186</v>
      </c>
      <c r="BM49" s="3" t="s">
        <v>186</v>
      </c>
      <c r="BN49" s="3" t="s">
        <v>186</v>
      </c>
      <c r="BO49" s="3" t="s">
        <v>186</v>
      </c>
      <c r="BP49" s="3" t="s">
        <v>186</v>
      </c>
      <c r="BQ49" s="3" t="s">
        <v>186</v>
      </c>
      <c r="BR49" s="3" t="s">
        <v>186</v>
      </c>
      <c r="BS49" s="3" t="s">
        <v>186</v>
      </c>
      <c r="BT49" s="3" t="s">
        <v>186</v>
      </c>
      <c r="BU49" s="3" t="s">
        <v>186</v>
      </c>
      <c r="BV49" s="3" t="s">
        <v>186</v>
      </c>
      <c r="BW49" s="3" t="s">
        <v>186</v>
      </c>
      <c r="BX49" s="21" t="s">
        <v>186</v>
      </c>
      <c r="BY49" s="3" t="s">
        <v>186</v>
      </c>
      <c r="BZ49" s="3" t="s">
        <v>186</v>
      </c>
      <c r="CA49" s="3" t="s">
        <v>186</v>
      </c>
      <c r="CB49" s="3" t="s">
        <v>186</v>
      </c>
      <c r="CC49" s="3" t="s">
        <v>186</v>
      </c>
      <c r="CD49" s="3" t="s">
        <v>186</v>
      </c>
      <c r="CE49" s="21" t="s">
        <v>186</v>
      </c>
      <c r="CF49" s="21" t="s">
        <v>186</v>
      </c>
      <c r="CG49" s="3" t="s">
        <v>186</v>
      </c>
      <c r="CH49" s="3" t="s">
        <v>186</v>
      </c>
      <c r="CI49" s="3" t="s">
        <v>186</v>
      </c>
      <c r="CJ49" s="3" t="s">
        <v>186</v>
      </c>
      <c r="CK49" s="3" t="s">
        <v>186</v>
      </c>
      <c r="CL49" s="3" t="s">
        <v>186</v>
      </c>
      <c r="CM49" s="32" t="str">
        <f t="shared" si="2"/>
        <v/>
      </c>
    </row>
    <row r="50" spans="1:91" x14ac:dyDescent="0.55000000000000004">
      <c r="A50" t="s">
        <v>255</v>
      </c>
      <c r="B50" t="s">
        <v>758</v>
      </c>
      <c r="C50" s="3">
        <v>1</v>
      </c>
      <c r="E50" t="s">
        <v>198</v>
      </c>
      <c r="F50">
        <v>6</v>
      </c>
      <c r="G50" t="s">
        <v>250</v>
      </c>
      <c r="H50" s="3">
        <v>23.994310515056771</v>
      </c>
      <c r="I50" s="3" t="s">
        <v>74</v>
      </c>
      <c r="J50" s="3">
        <v>0.2</v>
      </c>
      <c r="K50" s="3">
        <v>7.25</v>
      </c>
      <c r="L50" s="3">
        <v>0.25</v>
      </c>
      <c r="O50" s="3">
        <v>100</v>
      </c>
      <c r="P50" s="3">
        <v>4.1676546586845484</v>
      </c>
      <c r="R50" s="3">
        <v>10</v>
      </c>
      <c r="S50" s="4">
        <v>44945</v>
      </c>
      <c r="T50" s="3" t="s">
        <v>199</v>
      </c>
      <c r="U50" s="3" t="s">
        <v>200</v>
      </c>
      <c r="V50">
        <v>17</v>
      </c>
      <c r="W50" t="s">
        <v>92</v>
      </c>
      <c r="X50">
        <v>18</v>
      </c>
      <c r="Y50" t="s">
        <v>92</v>
      </c>
      <c r="Z50">
        <v>9</v>
      </c>
      <c r="AA50" t="s">
        <v>92</v>
      </c>
      <c r="AB50" t="s">
        <v>201</v>
      </c>
      <c r="AC50" s="3" t="s">
        <v>78</v>
      </c>
      <c r="AD50" s="3">
        <v>5</v>
      </c>
      <c r="AE50">
        <v>9</v>
      </c>
      <c r="AF50" t="s">
        <v>92</v>
      </c>
      <c r="AG50" t="s">
        <v>694</v>
      </c>
      <c r="AH50" s="17" t="s">
        <v>695</v>
      </c>
      <c r="AI50" t="s">
        <v>676</v>
      </c>
      <c r="AJ50" s="18" t="s">
        <v>677</v>
      </c>
      <c r="AO50" s="3">
        <v>-1.3685399810481821E-2</v>
      </c>
      <c r="AP50" s="3">
        <v>37</v>
      </c>
      <c r="AQ50" s="3">
        <f t="shared" si="0"/>
        <v>-0.50635979298782741</v>
      </c>
      <c r="BE50" s="3" t="s">
        <v>185</v>
      </c>
      <c r="BF50" s="3" t="s">
        <v>186</v>
      </c>
      <c r="BG50" s="3" t="s">
        <v>186</v>
      </c>
      <c r="BH50" s="3" t="s">
        <v>186</v>
      </c>
      <c r="BI50" s="3" t="s">
        <v>186</v>
      </c>
      <c r="BJ50" s="3" t="s">
        <v>186</v>
      </c>
      <c r="BK50" s="3" t="s">
        <v>186</v>
      </c>
      <c r="BL50" s="3" t="s">
        <v>186</v>
      </c>
      <c r="BM50" s="3" t="s">
        <v>186</v>
      </c>
      <c r="BN50" s="3" t="s">
        <v>186</v>
      </c>
      <c r="BO50" s="3" t="s">
        <v>186</v>
      </c>
      <c r="BP50" s="3" t="s">
        <v>186</v>
      </c>
      <c r="BQ50" s="3" t="s">
        <v>186</v>
      </c>
      <c r="BR50" s="3" t="s">
        <v>186</v>
      </c>
      <c r="BS50" s="3" t="s">
        <v>186</v>
      </c>
      <c r="BT50" s="3" t="s">
        <v>186</v>
      </c>
      <c r="BU50" s="3" t="s">
        <v>186</v>
      </c>
      <c r="BV50" s="3" t="s">
        <v>186</v>
      </c>
      <c r="BW50" s="3" t="s">
        <v>186</v>
      </c>
      <c r="BX50" s="21" t="s">
        <v>186</v>
      </c>
      <c r="BY50" s="3" t="s">
        <v>186</v>
      </c>
      <c r="BZ50" s="3" t="s">
        <v>186</v>
      </c>
      <c r="CA50" s="3" t="s">
        <v>186</v>
      </c>
      <c r="CB50" s="3" t="s">
        <v>186</v>
      </c>
      <c r="CC50" s="3" t="s">
        <v>186</v>
      </c>
      <c r="CD50" s="3" t="s">
        <v>186</v>
      </c>
      <c r="CE50" s="21" t="s">
        <v>186</v>
      </c>
      <c r="CF50" s="21" t="s">
        <v>186</v>
      </c>
      <c r="CG50" s="3" t="s">
        <v>186</v>
      </c>
      <c r="CH50" s="3" t="s">
        <v>186</v>
      </c>
      <c r="CI50" s="3" t="s">
        <v>186</v>
      </c>
      <c r="CJ50" s="3" t="s">
        <v>186</v>
      </c>
      <c r="CK50" s="3" t="s">
        <v>186</v>
      </c>
      <c r="CL50" s="3" t="s">
        <v>186</v>
      </c>
      <c r="CM50" s="32" t="str">
        <f t="shared" si="2"/>
        <v/>
      </c>
    </row>
    <row r="51" spans="1:91" x14ac:dyDescent="0.55000000000000004">
      <c r="A51" t="s">
        <v>256</v>
      </c>
      <c r="B51" t="s">
        <v>759</v>
      </c>
      <c r="C51" s="3">
        <v>1</v>
      </c>
      <c r="E51" t="s">
        <v>198</v>
      </c>
      <c r="F51">
        <v>7</v>
      </c>
      <c r="G51" t="s">
        <v>250</v>
      </c>
      <c r="H51" s="3">
        <v>23.875518347869015</v>
      </c>
      <c r="I51" s="3" t="s">
        <v>74</v>
      </c>
      <c r="J51" s="3">
        <v>0.2</v>
      </c>
      <c r="K51" s="3">
        <v>7.25</v>
      </c>
      <c r="L51" s="3">
        <v>0.25</v>
      </c>
      <c r="O51" s="3">
        <v>100</v>
      </c>
      <c r="P51" s="3">
        <v>4.1883907416370461</v>
      </c>
      <c r="R51" s="3">
        <v>10</v>
      </c>
      <c r="S51" s="4">
        <v>44945</v>
      </c>
      <c r="T51" s="3" t="s">
        <v>199</v>
      </c>
      <c r="U51" s="3" t="s">
        <v>200</v>
      </c>
      <c r="V51">
        <v>19</v>
      </c>
      <c r="W51" t="s">
        <v>73</v>
      </c>
      <c r="X51">
        <v>20</v>
      </c>
      <c r="Y51" t="s">
        <v>73</v>
      </c>
      <c r="Z51">
        <v>10</v>
      </c>
      <c r="AA51" t="s">
        <v>73</v>
      </c>
      <c r="AB51" t="s">
        <v>201</v>
      </c>
      <c r="AC51" s="3" t="s">
        <v>78</v>
      </c>
      <c r="AD51" s="3">
        <v>5</v>
      </c>
      <c r="AE51">
        <v>10</v>
      </c>
      <c r="AF51" t="s">
        <v>73</v>
      </c>
      <c r="AG51" t="s">
        <v>696</v>
      </c>
      <c r="AH51" s="17" t="s">
        <v>697</v>
      </c>
      <c r="AI51" t="s">
        <v>678</v>
      </c>
      <c r="AJ51" s="18" t="s">
        <v>679</v>
      </c>
      <c r="AO51" s="3">
        <v>7.5887455353888744E-2</v>
      </c>
      <c r="AP51" s="3">
        <v>37</v>
      </c>
      <c r="AQ51" s="3">
        <f t="shared" si="0"/>
        <v>2.8078358480938834</v>
      </c>
      <c r="BE51" s="3" t="s">
        <v>185</v>
      </c>
      <c r="BF51" s="3" t="s">
        <v>186</v>
      </c>
      <c r="BG51" s="3" t="s">
        <v>186</v>
      </c>
      <c r="BH51" s="3" t="s">
        <v>186</v>
      </c>
      <c r="BI51" s="3" t="s">
        <v>186</v>
      </c>
      <c r="BJ51" s="3" t="s">
        <v>186</v>
      </c>
      <c r="BK51" s="3" t="s">
        <v>186</v>
      </c>
      <c r="BL51" s="3" t="s">
        <v>186</v>
      </c>
      <c r="BM51" s="3" t="s">
        <v>186</v>
      </c>
      <c r="BN51" s="3" t="s">
        <v>186</v>
      </c>
      <c r="BO51" s="3" t="s">
        <v>186</v>
      </c>
      <c r="BP51" s="3" t="s">
        <v>186</v>
      </c>
      <c r="BQ51" s="3" t="s">
        <v>186</v>
      </c>
      <c r="BR51" s="3" t="s">
        <v>186</v>
      </c>
      <c r="BS51" s="3" t="s">
        <v>186</v>
      </c>
      <c r="BT51" s="3" t="s">
        <v>186</v>
      </c>
      <c r="BU51" s="3" t="s">
        <v>186</v>
      </c>
      <c r="BV51" s="3" t="s">
        <v>186</v>
      </c>
      <c r="BW51" s="3" t="s">
        <v>186</v>
      </c>
      <c r="BX51" s="21" t="s">
        <v>186</v>
      </c>
      <c r="BY51" s="3" t="s">
        <v>186</v>
      </c>
      <c r="BZ51" s="3" t="s">
        <v>186</v>
      </c>
      <c r="CA51" s="3" t="s">
        <v>186</v>
      </c>
      <c r="CB51" s="3" t="s">
        <v>186</v>
      </c>
      <c r="CC51" s="3" t="s">
        <v>186</v>
      </c>
      <c r="CD51" s="3" t="s">
        <v>186</v>
      </c>
      <c r="CE51" s="21" t="s">
        <v>186</v>
      </c>
      <c r="CF51" s="21" t="s">
        <v>186</v>
      </c>
      <c r="CG51" s="3" t="s">
        <v>186</v>
      </c>
      <c r="CH51" s="3" t="s">
        <v>186</v>
      </c>
      <c r="CI51" s="3" t="s">
        <v>186</v>
      </c>
      <c r="CJ51" s="3" t="s">
        <v>186</v>
      </c>
      <c r="CK51" s="3" t="s">
        <v>186</v>
      </c>
      <c r="CL51" s="3" t="s">
        <v>186</v>
      </c>
      <c r="CM51" s="32" t="str">
        <f t="shared" si="2"/>
        <v/>
      </c>
    </row>
    <row r="52" spans="1:91" x14ac:dyDescent="0.55000000000000004">
      <c r="A52" t="s">
        <v>257</v>
      </c>
      <c r="B52" t="s">
        <v>760</v>
      </c>
      <c r="C52" s="3">
        <v>1</v>
      </c>
      <c r="E52" t="s">
        <v>198</v>
      </c>
      <c r="F52">
        <v>8</v>
      </c>
      <c r="G52" t="s">
        <v>250</v>
      </c>
      <c r="H52" s="3">
        <v>29.68629669244693</v>
      </c>
      <c r="I52" s="3" t="s">
        <v>74</v>
      </c>
      <c r="J52" s="3">
        <v>0.2</v>
      </c>
      <c r="K52" s="3">
        <v>7.25</v>
      </c>
      <c r="L52" s="3">
        <v>0.25</v>
      </c>
      <c r="O52" s="3">
        <v>100</v>
      </c>
      <c r="P52" s="3">
        <v>3.3685575885739549</v>
      </c>
      <c r="R52" s="3">
        <v>10</v>
      </c>
      <c r="S52" s="4">
        <v>44945</v>
      </c>
      <c r="T52" s="3" t="s">
        <v>199</v>
      </c>
      <c r="U52" s="3" t="s">
        <v>200</v>
      </c>
      <c r="V52">
        <v>19</v>
      </c>
      <c r="W52" t="s">
        <v>76</v>
      </c>
      <c r="X52">
        <v>20</v>
      </c>
      <c r="Y52" t="s">
        <v>76</v>
      </c>
      <c r="Z52">
        <v>10</v>
      </c>
      <c r="AA52" t="s">
        <v>76</v>
      </c>
      <c r="AB52" t="s">
        <v>201</v>
      </c>
      <c r="AC52" s="3" t="s">
        <v>78</v>
      </c>
      <c r="AD52" s="3">
        <v>5</v>
      </c>
      <c r="AE52">
        <v>10</v>
      </c>
      <c r="AF52" t="s">
        <v>76</v>
      </c>
      <c r="AG52" t="s">
        <v>700</v>
      </c>
      <c r="AH52" s="17" t="s">
        <v>701</v>
      </c>
      <c r="AI52" t="s">
        <v>678</v>
      </c>
      <c r="AJ52" s="18" t="s">
        <v>679</v>
      </c>
      <c r="AO52" s="3">
        <v>-4.15081274145346E-2</v>
      </c>
      <c r="AP52" s="3">
        <v>37</v>
      </c>
      <c r="AQ52" s="3">
        <f t="shared" si="0"/>
        <v>-1.5358007143377801</v>
      </c>
      <c r="BE52" s="3" t="s">
        <v>185</v>
      </c>
      <c r="BF52" s="3" t="s">
        <v>186</v>
      </c>
      <c r="BG52" s="3" t="s">
        <v>186</v>
      </c>
      <c r="BH52" s="3" t="s">
        <v>186</v>
      </c>
      <c r="BI52" s="3" t="s">
        <v>186</v>
      </c>
      <c r="BJ52" s="3" t="s">
        <v>186</v>
      </c>
      <c r="BK52" s="3" t="s">
        <v>186</v>
      </c>
      <c r="BL52" s="3" t="s">
        <v>186</v>
      </c>
      <c r="BM52" s="3" t="s">
        <v>186</v>
      </c>
      <c r="BN52" s="3" t="s">
        <v>186</v>
      </c>
      <c r="BO52" s="3" t="s">
        <v>186</v>
      </c>
      <c r="BP52" s="3" t="s">
        <v>186</v>
      </c>
      <c r="BQ52" s="3" t="s">
        <v>186</v>
      </c>
      <c r="BR52" s="3" t="s">
        <v>186</v>
      </c>
      <c r="BS52" s="3" t="s">
        <v>186</v>
      </c>
      <c r="BT52" s="3" t="s">
        <v>186</v>
      </c>
      <c r="BU52" s="3" t="s">
        <v>186</v>
      </c>
      <c r="BV52" s="3" t="s">
        <v>186</v>
      </c>
      <c r="BW52" s="3" t="s">
        <v>186</v>
      </c>
      <c r="BX52" s="21" t="s">
        <v>186</v>
      </c>
      <c r="BY52" s="3" t="s">
        <v>186</v>
      </c>
      <c r="BZ52" s="3" t="s">
        <v>186</v>
      </c>
      <c r="CA52" s="3" t="s">
        <v>186</v>
      </c>
      <c r="CB52" s="3" t="s">
        <v>186</v>
      </c>
      <c r="CC52" s="3" t="s">
        <v>186</v>
      </c>
      <c r="CD52" s="3" t="s">
        <v>186</v>
      </c>
      <c r="CE52" s="21" t="s">
        <v>186</v>
      </c>
      <c r="CF52" s="21" t="s">
        <v>186</v>
      </c>
      <c r="CG52" s="3" t="s">
        <v>186</v>
      </c>
      <c r="CH52" s="3" t="s">
        <v>186</v>
      </c>
      <c r="CI52" s="3" t="s">
        <v>186</v>
      </c>
      <c r="CJ52" s="3" t="s">
        <v>186</v>
      </c>
      <c r="CK52" s="3" t="s">
        <v>186</v>
      </c>
      <c r="CL52" s="3" t="s">
        <v>186</v>
      </c>
      <c r="CM52" s="32" t="str">
        <f t="shared" si="2"/>
        <v/>
      </c>
    </row>
    <row r="53" spans="1:91" x14ac:dyDescent="0.55000000000000004">
      <c r="A53" t="s">
        <v>258</v>
      </c>
      <c r="B53" t="s">
        <v>761</v>
      </c>
      <c r="C53" s="3">
        <v>1</v>
      </c>
      <c r="E53" t="s">
        <v>198</v>
      </c>
      <c r="F53">
        <v>9</v>
      </c>
      <c r="G53" t="s">
        <v>250</v>
      </c>
      <c r="H53" s="3">
        <v>26.174917722560473</v>
      </c>
      <c r="I53" s="3" t="s">
        <v>74</v>
      </c>
      <c r="J53" s="3">
        <v>0.2</v>
      </c>
      <c r="K53" s="3">
        <v>7.25</v>
      </c>
      <c r="L53" s="3">
        <v>0.25</v>
      </c>
      <c r="O53" s="3">
        <v>100</v>
      </c>
      <c r="P53" s="3">
        <v>3.8204513595780596</v>
      </c>
      <c r="R53" s="3">
        <v>10</v>
      </c>
      <c r="S53" s="4">
        <v>44945</v>
      </c>
      <c r="T53" s="3" t="s">
        <v>199</v>
      </c>
      <c r="U53" s="3" t="s">
        <v>200</v>
      </c>
      <c r="V53">
        <v>19</v>
      </c>
      <c r="W53" t="s">
        <v>83</v>
      </c>
      <c r="X53">
        <v>20</v>
      </c>
      <c r="Y53" t="s">
        <v>83</v>
      </c>
      <c r="Z53">
        <v>10</v>
      </c>
      <c r="AA53" t="s">
        <v>83</v>
      </c>
      <c r="AB53" t="s">
        <v>201</v>
      </c>
      <c r="AC53" s="3" t="s">
        <v>78</v>
      </c>
      <c r="AD53" s="3">
        <v>5</v>
      </c>
      <c r="AE53">
        <v>10</v>
      </c>
      <c r="AF53" t="s">
        <v>83</v>
      </c>
      <c r="AG53" t="s">
        <v>682</v>
      </c>
      <c r="AH53" s="17" t="s">
        <v>683</v>
      </c>
      <c r="AI53" t="s">
        <v>678</v>
      </c>
      <c r="AJ53" s="18" t="s">
        <v>679</v>
      </c>
      <c r="AO53" s="3">
        <v>5.3968948174065168E-2</v>
      </c>
      <c r="AP53" s="3">
        <v>37</v>
      </c>
      <c r="AQ53" s="3">
        <f t="shared" si="0"/>
        <v>1.9968510824404113</v>
      </c>
      <c r="BE53" s="3" t="s">
        <v>185</v>
      </c>
      <c r="BF53" s="3" t="s">
        <v>186</v>
      </c>
      <c r="BG53" s="3" t="s">
        <v>186</v>
      </c>
      <c r="BH53" s="3" t="s">
        <v>186</v>
      </c>
      <c r="BI53" s="3" t="s">
        <v>186</v>
      </c>
      <c r="BJ53" s="3" t="s">
        <v>186</v>
      </c>
      <c r="BK53" s="3" t="s">
        <v>186</v>
      </c>
      <c r="BL53" s="3" t="s">
        <v>186</v>
      </c>
      <c r="BM53" s="3" t="s">
        <v>186</v>
      </c>
      <c r="BN53" s="3" t="s">
        <v>186</v>
      </c>
      <c r="BO53" s="3" t="s">
        <v>186</v>
      </c>
      <c r="BP53" s="3" t="s">
        <v>186</v>
      </c>
      <c r="BQ53" s="3" t="s">
        <v>186</v>
      </c>
      <c r="BR53" s="3" t="s">
        <v>186</v>
      </c>
      <c r="BS53" s="3" t="s">
        <v>186</v>
      </c>
      <c r="BT53" s="3" t="s">
        <v>186</v>
      </c>
      <c r="BU53" s="3" t="s">
        <v>186</v>
      </c>
      <c r="BV53" s="3" t="s">
        <v>186</v>
      </c>
      <c r="BW53" s="3" t="s">
        <v>186</v>
      </c>
      <c r="BX53" s="21" t="s">
        <v>186</v>
      </c>
      <c r="BY53" s="3" t="s">
        <v>186</v>
      </c>
      <c r="BZ53" s="3" t="s">
        <v>186</v>
      </c>
      <c r="CA53" s="3" t="s">
        <v>186</v>
      </c>
      <c r="CB53" s="3" t="s">
        <v>186</v>
      </c>
      <c r="CC53" s="3" t="s">
        <v>186</v>
      </c>
      <c r="CD53" s="3" t="s">
        <v>186</v>
      </c>
      <c r="CE53" s="21" t="s">
        <v>186</v>
      </c>
      <c r="CF53" s="21" t="s">
        <v>186</v>
      </c>
      <c r="CG53" s="3" t="s">
        <v>186</v>
      </c>
      <c r="CH53" s="3" t="s">
        <v>186</v>
      </c>
      <c r="CI53" s="3" t="s">
        <v>186</v>
      </c>
      <c r="CJ53" s="3" t="s">
        <v>186</v>
      </c>
      <c r="CK53" s="3" t="s">
        <v>186</v>
      </c>
      <c r="CL53" s="3" t="s">
        <v>186</v>
      </c>
      <c r="CM53" s="32" t="str">
        <f t="shared" si="2"/>
        <v/>
      </c>
    </row>
    <row r="54" spans="1:91" x14ac:dyDescent="0.55000000000000004">
      <c r="A54" t="s">
        <v>259</v>
      </c>
      <c r="B54" t="s">
        <v>762</v>
      </c>
      <c r="C54" s="3">
        <v>1</v>
      </c>
      <c r="E54" t="s">
        <v>198</v>
      </c>
      <c r="F54">
        <v>10</v>
      </c>
      <c r="G54" t="s">
        <v>250</v>
      </c>
      <c r="H54" s="3">
        <v>25.147297186111565</v>
      </c>
      <c r="I54" s="3" t="s">
        <v>74</v>
      </c>
      <c r="J54" s="3">
        <v>0.2</v>
      </c>
      <c r="K54" s="3">
        <v>7.25</v>
      </c>
      <c r="L54" s="3">
        <v>0.25</v>
      </c>
      <c r="O54" s="3">
        <v>100</v>
      </c>
      <c r="P54" s="3">
        <v>3.976570494233008</v>
      </c>
      <c r="R54" s="3">
        <v>10</v>
      </c>
      <c r="S54" s="4">
        <v>44945</v>
      </c>
      <c r="T54" s="3" t="s">
        <v>199</v>
      </c>
      <c r="U54" s="3" t="s">
        <v>200</v>
      </c>
      <c r="V54">
        <v>19</v>
      </c>
      <c r="W54" t="s">
        <v>84</v>
      </c>
      <c r="X54">
        <v>20</v>
      </c>
      <c r="Y54" t="s">
        <v>84</v>
      </c>
      <c r="Z54">
        <v>10</v>
      </c>
      <c r="AA54" t="s">
        <v>84</v>
      </c>
      <c r="AB54" t="s">
        <v>201</v>
      </c>
      <c r="AC54" s="3" t="s">
        <v>78</v>
      </c>
      <c r="AD54" s="3">
        <v>5</v>
      </c>
      <c r="AE54">
        <v>10</v>
      </c>
      <c r="AF54" t="s">
        <v>84</v>
      </c>
      <c r="AG54" t="s">
        <v>686</v>
      </c>
      <c r="AH54" s="17" t="s">
        <v>687</v>
      </c>
      <c r="AI54" t="s">
        <v>678</v>
      </c>
      <c r="AJ54" s="18" t="s">
        <v>679</v>
      </c>
      <c r="AO54" s="3">
        <v>-0.12947372257453166</v>
      </c>
      <c r="AP54" s="3">
        <v>37</v>
      </c>
      <c r="AQ54" s="3">
        <f t="shared" si="0"/>
        <v>-4.7905277352576716</v>
      </c>
      <c r="BE54" s="3" t="s">
        <v>185</v>
      </c>
      <c r="BF54" s="3" t="s">
        <v>186</v>
      </c>
      <c r="BG54" s="3" t="s">
        <v>186</v>
      </c>
      <c r="BH54" s="3" t="s">
        <v>186</v>
      </c>
      <c r="BI54" s="3" t="s">
        <v>186</v>
      </c>
      <c r="BJ54" s="3" t="s">
        <v>186</v>
      </c>
      <c r="BK54" s="3" t="s">
        <v>186</v>
      </c>
      <c r="BL54" s="3" t="s">
        <v>186</v>
      </c>
      <c r="BM54" s="3" t="s">
        <v>186</v>
      </c>
      <c r="BN54" s="3" t="s">
        <v>186</v>
      </c>
      <c r="BO54" s="3" t="s">
        <v>186</v>
      </c>
      <c r="BP54" s="3" t="s">
        <v>186</v>
      </c>
      <c r="BQ54" s="3" t="s">
        <v>186</v>
      </c>
      <c r="BR54" s="3" t="s">
        <v>186</v>
      </c>
      <c r="BS54" s="3" t="s">
        <v>186</v>
      </c>
      <c r="BT54" s="3" t="s">
        <v>186</v>
      </c>
      <c r="BU54" s="3" t="s">
        <v>186</v>
      </c>
      <c r="BV54" s="3" t="s">
        <v>186</v>
      </c>
      <c r="BW54" s="3" t="s">
        <v>186</v>
      </c>
      <c r="BX54" s="21" t="s">
        <v>186</v>
      </c>
      <c r="BY54" s="3" t="s">
        <v>186</v>
      </c>
      <c r="BZ54" s="3" t="s">
        <v>186</v>
      </c>
      <c r="CA54" s="3" t="s">
        <v>186</v>
      </c>
      <c r="CB54" s="3" t="s">
        <v>186</v>
      </c>
      <c r="CC54" s="3" t="s">
        <v>186</v>
      </c>
      <c r="CD54" s="3" t="s">
        <v>186</v>
      </c>
      <c r="CE54" s="21" t="s">
        <v>186</v>
      </c>
      <c r="CF54" s="21" t="s">
        <v>186</v>
      </c>
      <c r="CG54" s="3" t="s">
        <v>186</v>
      </c>
      <c r="CH54" s="3" t="s">
        <v>186</v>
      </c>
      <c r="CI54" s="3" t="s">
        <v>186</v>
      </c>
      <c r="CJ54" s="3" t="s">
        <v>186</v>
      </c>
      <c r="CK54" s="3" t="s">
        <v>186</v>
      </c>
      <c r="CL54" s="3" t="s">
        <v>186</v>
      </c>
      <c r="CM54" s="32" t="str">
        <f t="shared" si="2"/>
        <v/>
      </c>
    </row>
    <row r="55" spans="1:91" x14ac:dyDescent="0.55000000000000004">
      <c r="A55" t="s">
        <v>260</v>
      </c>
      <c r="B55" t="s">
        <v>763</v>
      </c>
      <c r="C55" s="3">
        <v>1</v>
      </c>
      <c r="E55" t="s">
        <v>198</v>
      </c>
      <c r="F55">
        <v>11</v>
      </c>
      <c r="G55" t="s">
        <v>250</v>
      </c>
      <c r="H55" s="3">
        <v>10.814365640941253</v>
      </c>
      <c r="I55" s="3" t="s">
        <v>74</v>
      </c>
      <c r="J55" s="3">
        <v>0.2</v>
      </c>
      <c r="K55" s="3">
        <v>7.25</v>
      </c>
      <c r="L55" s="3">
        <v>0.25</v>
      </c>
      <c r="O55" s="3">
        <v>100</v>
      </c>
      <c r="P55" s="3">
        <v>9.2469593982857301</v>
      </c>
      <c r="R55" s="3">
        <v>10</v>
      </c>
      <c r="S55" s="4">
        <v>44945</v>
      </c>
      <c r="T55" s="3" t="s">
        <v>199</v>
      </c>
      <c r="U55" s="3" t="s">
        <v>200</v>
      </c>
      <c r="V55">
        <v>19</v>
      </c>
      <c r="W55" t="s">
        <v>87</v>
      </c>
      <c r="X55">
        <v>20</v>
      </c>
      <c r="Y55" t="s">
        <v>87</v>
      </c>
      <c r="Z55">
        <v>10</v>
      </c>
      <c r="AA55" t="s">
        <v>87</v>
      </c>
      <c r="AB55" t="s">
        <v>201</v>
      </c>
      <c r="AC55" s="3" t="s">
        <v>78</v>
      </c>
      <c r="AD55" s="3">
        <v>5</v>
      </c>
      <c r="AE55">
        <v>10</v>
      </c>
      <c r="AF55" t="s">
        <v>87</v>
      </c>
      <c r="AG55" t="s">
        <v>688</v>
      </c>
      <c r="AH55" s="17" t="s">
        <v>689</v>
      </c>
      <c r="AI55" t="s">
        <v>678</v>
      </c>
      <c r="AJ55" s="18" t="s">
        <v>679</v>
      </c>
      <c r="AO55" s="3">
        <v>-8.0031343392375554E-2</v>
      </c>
      <c r="AP55" s="3">
        <v>37</v>
      </c>
      <c r="AQ55" s="3">
        <f t="shared" si="0"/>
        <v>-2.9611597055178955</v>
      </c>
      <c r="BE55" s="3" t="s">
        <v>185</v>
      </c>
      <c r="BF55" s="3" t="s">
        <v>186</v>
      </c>
      <c r="BG55" s="3" t="s">
        <v>186</v>
      </c>
      <c r="BH55" s="3" t="s">
        <v>186</v>
      </c>
      <c r="BI55" s="3" t="s">
        <v>186</v>
      </c>
      <c r="BJ55" s="3" t="s">
        <v>186</v>
      </c>
      <c r="BK55" s="3" t="s">
        <v>186</v>
      </c>
      <c r="BL55" s="3" t="s">
        <v>186</v>
      </c>
      <c r="BM55" s="3" t="s">
        <v>186</v>
      </c>
      <c r="BN55" s="3" t="s">
        <v>186</v>
      </c>
      <c r="BO55" s="3" t="s">
        <v>186</v>
      </c>
      <c r="BP55" s="3" t="s">
        <v>186</v>
      </c>
      <c r="BQ55" s="3" t="s">
        <v>186</v>
      </c>
      <c r="BR55" s="3" t="s">
        <v>186</v>
      </c>
      <c r="BS55" s="3" t="s">
        <v>186</v>
      </c>
      <c r="BT55" s="3" t="s">
        <v>186</v>
      </c>
      <c r="BU55" s="3" t="s">
        <v>186</v>
      </c>
      <c r="BV55" s="3" t="s">
        <v>186</v>
      </c>
      <c r="BW55" s="3" t="s">
        <v>186</v>
      </c>
      <c r="BX55" s="21" t="s">
        <v>186</v>
      </c>
      <c r="BY55" s="3" t="s">
        <v>186</v>
      </c>
      <c r="BZ55" s="3" t="s">
        <v>186</v>
      </c>
      <c r="CA55" s="3" t="s">
        <v>186</v>
      </c>
      <c r="CB55" s="3" t="s">
        <v>186</v>
      </c>
      <c r="CC55" s="3" t="s">
        <v>186</v>
      </c>
      <c r="CD55" s="3" t="s">
        <v>186</v>
      </c>
      <c r="CE55" s="21" t="s">
        <v>186</v>
      </c>
      <c r="CF55" s="21" t="s">
        <v>186</v>
      </c>
      <c r="CG55" s="3" t="s">
        <v>186</v>
      </c>
      <c r="CH55" s="3" t="s">
        <v>186</v>
      </c>
      <c r="CI55" s="3" t="s">
        <v>186</v>
      </c>
      <c r="CJ55" s="3" t="s">
        <v>186</v>
      </c>
      <c r="CK55" s="3" t="s">
        <v>186</v>
      </c>
      <c r="CL55" s="3" t="s">
        <v>186</v>
      </c>
      <c r="CM55" s="32" t="str">
        <f t="shared" si="2"/>
        <v/>
      </c>
    </row>
    <row r="56" spans="1:91" x14ac:dyDescent="0.55000000000000004">
      <c r="A56" t="s">
        <v>261</v>
      </c>
      <c r="B56" t="s">
        <v>764</v>
      </c>
      <c r="C56" s="3">
        <v>1</v>
      </c>
      <c r="E56" t="s">
        <v>198</v>
      </c>
      <c r="F56">
        <v>12</v>
      </c>
      <c r="G56" t="s">
        <v>250</v>
      </c>
      <c r="H56" s="3">
        <v>19.928126542701989</v>
      </c>
      <c r="I56" s="3" t="s">
        <v>74</v>
      </c>
      <c r="J56" s="3">
        <v>0.2</v>
      </c>
      <c r="K56" s="3">
        <v>7.25</v>
      </c>
      <c r="L56" s="3">
        <v>0.25</v>
      </c>
      <c r="O56" s="3">
        <v>100</v>
      </c>
      <c r="P56" s="3">
        <v>5.0180331696368947</v>
      </c>
      <c r="R56" s="3">
        <v>10</v>
      </c>
      <c r="S56" s="4">
        <v>44945</v>
      </c>
      <c r="T56" s="3" t="s">
        <v>199</v>
      </c>
      <c r="U56" s="3" t="s">
        <v>200</v>
      </c>
      <c r="V56">
        <v>19</v>
      </c>
      <c r="W56" t="s">
        <v>88</v>
      </c>
      <c r="X56">
        <v>20</v>
      </c>
      <c r="Y56" t="s">
        <v>88</v>
      </c>
      <c r="Z56">
        <v>10</v>
      </c>
      <c r="AA56" t="s">
        <v>88</v>
      </c>
      <c r="AB56" t="s">
        <v>201</v>
      </c>
      <c r="AC56" s="3" t="s">
        <v>78</v>
      </c>
      <c r="AD56" s="3">
        <v>5</v>
      </c>
      <c r="AE56">
        <v>10</v>
      </c>
      <c r="AF56" t="s">
        <v>88</v>
      </c>
      <c r="AG56" t="s">
        <v>690</v>
      </c>
      <c r="AH56" s="17" t="s">
        <v>691</v>
      </c>
      <c r="AI56" t="s">
        <v>678</v>
      </c>
      <c r="AJ56" s="18" t="s">
        <v>679</v>
      </c>
      <c r="AO56" s="3">
        <v>2.4983599387710463E-2</v>
      </c>
      <c r="AP56" s="3">
        <v>37</v>
      </c>
      <c r="AQ56" s="3">
        <f t="shared" si="0"/>
        <v>0.92439317734528714</v>
      </c>
      <c r="BE56" s="3" t="s">
        <v>185</v>
      </c>
      <c r="BF56" s="3" t="s">
        <v>186</v>
      </c>
      <c r="BG56" s="3" t="s">
        <v>186</v>
      </c>
      <c r="BH56" s="3" t="s">
        <v>186</v>
      </c>
      <c r="BI56" s="3" t="s">
        <v>186</v>
      </c>
      <c r="BJ56" s="3" t="s">
        <v>186</v>
      </c>
      <c r="BK56" s="3" t="s">
        <v>186</v>
      </c>
      <c r="BL56" s="3" t="s">
        <v>186</v>
      </c>
      <c r="BM56" s="3" t="s">
        <v>186</v>
      </c>
      <c r="BN56" s="3" t="s">
        <v>186</v>
      </c>
      <c r="BO56" s="3" t="s">
        <v>186</v>
      </c>
      <c r="BP56" s="3" t="s">
        <v>186</v>
      </c>
      <c r="BQ56" s="3" t="s">
        <v>186</v>
      </c>
      <c r="BR56" s="3" t="s">
        <v>186</v>
      </c>
      <c r="BS56" s="3" t="s">
        <v>186</v>
      </c>
      <c r="BT56" s="3" t="s">
        <v>186</v>
      </c>
      <c r="BU56" s="3" t="s">
        <v>186</v>
      </c>
      <c r="BV56" s="3" t="s">
        <v>186</v>
      </c>
      <c r="BW56" s="3" t="s">
        <v>186</v>
      </c>
      <c r="BX56" s="21" t="s">
        <v>186</v>
      </c>
      <c r="BY56" s="3" t="s">
        <v>186</v>
      </c>
      <c r="BZ56" s="3" t="s">
        <v>186</v>
      </c>
      <c r="CA56" s="3" t="s">
        <v>186</v>
      </c>
      <c r="CB56" s="3" t="s">
        <v>186</v>
      </c>
      <c r="CC56" s="3" t="s">
        <v>186</v>
      </c>
      <c r="CD56" s="3" t="s">
        <v>186</v>
      </c>
      <c r="CE56" s="21" t="s">
        <v>186</v>
      </c>
      <c r="CF56" s="21" t="s">
        <v>186</v>
      </c>
      <c r="CG56" s="3" t="s">
        <v>186</v>
      </c>
      <c r="CH56" s="3" t="s">
        <v>186</v>
      </c>
      <c r="CI56" s="3" t="s">
        <v>186</v>
      </c>
      <c r="CJ56" s="3" t="s">
        <v>186</v>
      </c>
      <c r="CK56" s="3" t="s">
        <v>186</v>
      </c>
      <c r="CL56" s="3" t="s">
        <v>186</v>
      </c>
      <c r="CM56" s="32" t="str">
        <f t="shared" si="2"/>
        <v/>
      </c>
    </row>
    <row r="57" spans="1:91" x14ac:dyDescent="0.55000000000000004">
      <c r="A57" t="s">
        <v>262</v>
      </c>
      <c r="B57" t="s">
        <v>765</v>
      </c>
      <c r="C57" s="3">
        <v>1</v>
      </c>
      <c r="E57" t="s">
        <v>198</v>
      </c>
      <c r="F57">
        <v>1</v>
      </c>
      <c r="G57" t="s">
        <v>88</v>
      </c>
      <c r="H57" s="3">
        <v>16.656812571992759</v>
      </c>
      <c r="I57" s="3" t="s">
        <v>74</v>
      </c>
      <c r="J57" s="3">
        <v>0.2</v>
      </c>
      <c r="K57" s="3">
        <v>7.25</v>
      </c>
      <c r="L57" s="3">
        <v>0.25</v>
      </c>
      <c r="O57" s="3">
        <v>100</v>
      </c>
      <c r="P57" s="3">
        <v>6.0035495727521635</v>
      </c>
      <c r="R57" s="3">
        <v>10</v>
      </c>
      <c r="S57" s="4">
        <v>44945</v>
      </c>
      <c r="T57" s="3" t="s">
        <v>199</v>
      </c>
      <c r="U57" s="3" t="s">
        <v>200</v>
      </c>
      <c r="V57">
        <v>19</v>
      </c>
      <c r="W57" t="s">
        <v>91</v>
      </c>
      <c r="X57">
        <v>20</v>
      </c>
      <c r="Y57" t="s">
        <v>91</v>
      </c>
      <c r="Z57">
        <v>10</v>
      </c>
      <c r="AA57" t="s">
        <v>91</v>
      </c>
      <c r="AB57" t="s">
        <v>201</v>
      </c>
      <c r="AC57" s="3" t="s">
        <v>78</v>
      </c>
      <c r="AD57" s="3">
        <v>5</v>
      </c>
      <c r="AE57">
        <v>10</v>
      </c>
      <c r="AF57" t="s">
        <v>91</v>
      </c>
      <c r="AG57" t="s">
        <v>692</v>
      </c>
      <c r="AH57" s="17" t="s">
        <v>693</v>
      </c>
      <c r="AI57" t="s">
        <v>678</v>
      </c>
      <c r="AJ57" s="18" t="s">
        <v>679</v>
      </c>
      <c r="AO57" s="3">
        <v>3.080399446023762E-2</v>
      </c>
      <c r="AP57" s="3">
        <v>37</v>
      </c>
      <c r="AQ57" s="3">
        <f t="shared" si="0"/>
        <v>1.139747795028792</v>
      </c>
      <c r="BE57" s="3" t="s">
        <v>185</v>
      </c>
      <c r="BF57" s="3" t="s">
        <v>186</v>
      </c>
      <c r="BG57" s="3" t="s">
        <v>186</v>
      </c>
      <c r="BH57" s="3" t="s">
        <v>186</v>
      </c>
      <c r="BI57" s="3" t="s">
        <v>186</v>
      </c>
      <c r="BJ57" s="3" t="s">
        <v>186</v>
      </c>
      <c r="BK57" s="3" t="s">
        <v>186</v>
      </c>
      <c r="BL57" s="3" t="s">
        <v>186</v>
      </c>
      <c r="BM57" s="3" t="s">
        <v>186</v>
      </c>
      <c r="BN57" s="3" t="s">
        <v>186</v>
      </c>
      <c r="BO57" s="3" t="s">
        <v>186</v>
      </c>
      <c r="BP57" s="3" t="s">
        <v>186</v>
      </c>
      <c r="BQ57" s="3" t="s">
        <v>186</v>
      </c>
      <c r="BR57" s="3" t="s">
        <v>186</v>
      </c>
      <c r="BS57" s="3" t="s">
        <v>186</v>
      </c>
      <c r="BT57" s="3" t="s">
        <v>186</v>
      </c>
      <c r="BU57" s="3" t="s">
        <v>186</v>
      </c>
      <c r="BV57" s="3" t="s">
        <v>186</v>
      </c>
      <c r="BW57" s="3" t="s">
        <v>186</v>
      </c>
      <c r="BX57" s="21" t="s">
        <v>186</v>
      </c>
      <c r="BY57" s="3" t="s">
        <v>186</v>
      </c>
      <c r="BZ57" s="3" t="s">
        <v>186</v>
      </c>
      <c r="CA57" s="3" t="s">
        <v>186</v>
      </c>
      <c r="CB57" s="3" t="s">
        <v>186</v>
      </c>
      <c r="CC57" s="3" t="s">
        <v>186</v>
      </c>
      <c r="CD57" s="3" t="s">
        <v>186</v>
      </c>
      <c r="CE57" s="21" t="s">
        <v>186</v>
      </c>
      <c r="CF57" s="21" t="s">
        <v>186</v>
      </c>
      <c r="CG57" s="3" t="s">
        <v>186</v>
      </c>
      <c r="CH57" s="3" t="s">
        <v>186</v>
      </c>
      <c r="CI57" s="3" t="s">
        <v>186</v>
      </c>
      <c r="CJ57" s="3" t="s">
        <v>186</v>
      </c>
      <c r="CK57" s="3" t="s">
        <v>186</v>
      </c>
      <c r="CL57" s="3" t="s">
        <v>186</v>
      </c>
      <c r="CM57" s="32" t="str">
        <f t="shared" si="2"/>
        <v/>
      </c>
    </row>
    <row r="58" spans="1:91" x14ac:dyDescent="0.55000000000000004">
      <c r="A58" t="s">
        <v>263</v>
      </c>
      <c r="B58" t="s">
        <v>766</v>
      </c>
      <c r="C58" s="3">
        <v>1</v>
      </c>
      <c r="E58" t="s">
        <v>198</v>
      </c>
      <c r="F58">
        <v>2</v>
      </c>
      <c r="G58" t="s">
        <v>88</v>
      </c>
      <c r="H58" s="3">
        <v>11.092434589435577</v>
      </c>
      <c r="I58" s="3" t="s">
        <v>74</v>
      </c>
      <c r="J58" s="3">
        <v>0.2</v>
      </c>
      <c r="K58" s="3">
        <v>7.25</v>
      </c>
      <c r="L58" s="3">
        <v>0.25</v>
      </c>
      <c r="O58" s="3">
        <v>100</v>
      </c>
      <c r="P58" s="3">
        <v>9.0151534537999343</v>
      </c>
      <c r="R58" s="3">
        <v>10</v>
      </c>
      <c r="S58" s="4">
        <v>44945</v>
      </c>
      <c r="T58" s="3" t="s">
        <v>199</v>
      </c>
      <c r="U58" s="3" t="s">
        <v>200</v>
      </c>
      <c r="V58">
        <v>19</v>
      </c>
      <c r="W58" t="s">
        <v>92</v>
      </c>
      <c r="X58">
        <v>20</v>
      </c>
      <c r="Y58" t="s">
        <v>92</v>
      </c>
      <c r="Z58">
        <v>10</v>
      </c>
      <c r="AA58" t="s">
        <v>92</v>
      </c>
      <c r="AB58" t="s">
        <v>201</v>
      </c>
      <c r="AC58" s="3" t="s">
        <v>78</v>
      </c>
      <c r="AD58" s="3">
        <v>5</v>
      </c>
      <c r="AE58">
        <v>10</v>
      </c>
      <c r="AF58" t="s">
        <v>92</v>
      </c>
      <c r="AG58" t="s">
        <v>694</v>
      </c>
      <c r="AH58" s="17" t="s">
        <v>695</v>
      </c>
      <c r="AI58" t="s">
        <v>678</v>
      </c>
      <c r="AJ58" s="18" t="s">
        <v>679</v>
      </c>
      <c r="AO58" s="3">
        <v>-3.3023543990086737E-2</v>
      </c>
      <c r="AP58" s="3">
        <v>37</v>
      </c>
      <c r="AQ58" s="3">
        <f t="shared" si="0"/>
        <v>-1.2218711276332093</v>
      </c>
      <c r="BE58" s="3" t="s">
        <v>185</v>
      </c>
      <c r="BF58" s="3" t="s">
        <v>186</v>
      </c>
      <c r="BG58" s="3" t="s">
        <v>186</v>
      </c>
      <c r="BH58" s="3" t="s">
        <v>186</v>
      </c>
      <c r="BI58" s="3" t="s">
        <v>186</v>
      </c>
      <c r="BJ58" s="3" t="s">
        <v>186</v>
      </c>
      <c r="BK58" s="3" t="s">
        <v>186</v>
      </c>
      <c r="BL58" s="3" t="s">
        <v>186</v>
      </c>
      <c r="BM58" s="3" t="s">
        <v>186</v>
      </c>
      <c r="BN58" s="3" t="s">
        <v>186</v>
      </c>
      <c r="BO58" s="3" t="s">
        <v>186</v>
      </c>
      <c r="BP58" s="3" t="s">
        <v>186</v>
      </c>
      <c r="BQ58" s="3" t="s">
        <v>186</v>
      </c>
      <c r="BR58" s="3" t="s">
        <v>186</v>
      </c>
      <c r="BS58" s="3" t="s">
        <v>186</v>
      </c>
      <c r="BT58" s="3" t="s">
        <v>186</v>
      </c>
      <c r="BU58" s="3" t="s">
        <v>186</v>
      </c>
      <c r="BV58" s="3" t="s">
        <v>186</v>
      </c>
      <c r="BW58" s="3" t="s">
        <v>186</v>
      </c>
      <c r="BX58" s="21" t="s">
        <v>186</v>
      </c>
      <c r="BY58" s="3" t="s">
        <v>186</v>
      </c>
      <c r="BZ58" s="3" t="s">
        <v>186</v>
      </c>
      <c r="CA58" s="3" t="s">
        <v>186</v>
      </c>
      <c r="CB58" s="3" t="s">
        <v>186</v>
      </c>
      <c r="CC58" s="3" t="s">
        <v>186</v>
      </c>
      <c r="CD58" s="3" t="s">
        <v>186</v>
      </c>
      <c r="CE58" s="21" t="s">
        <v>186</v>
      </c>
      <c r="CF58" s="21" t="s">
        <v>186</v>
      </c>
      <c r="CG58" s="3" t="s">
        <v>186</v>
      </c>
      <c r="CH58" s="3" t="s">
        <v>186</v>
      </c>
      <c r="CI58" s="3" t="s">
        <v>186</v>
      </c>
      <c r="CJ58" s="3" t="s">
        <v>186</v>
      </c>
      <c r="CK58" s="3" t="s">
        <v>186</v>
      </c>
      <c r="CL58" s="3" t="s">
        <v>186</v>
      </c>
      <c r="CM58" s="32" t="str">
        <f t="shared" si="2"/>
        <v/>
      </c>
    </row>
    <row r="59" spans="1:91" x14ac:dyDescent="0.55000000000000004">
      <c r="A59" t="s">
        <v>264</v>
      </c>
      <c r="B59" t="s">
        <v>767</v>
      </c>
      <c r="C59" s="3">
        <v>1</v>
      </c>
      <c r="E59" t="s">
        <v>198</v>
      </c>
      <c r="F59">
        <v>3</v>
      </c>
      <c r="G59" t="s">
        <v>88</v>
      </c>
      <c r="H59" s="3">
        <v>7.6011559980253409</v>
      </c>
      <c r="I59" s="3" t="s">
        <v>74</v>
      </c>
      <c r="J59" s="3">
        <v>0.2</v>
      </c>
      <c r="K59" s="3">
        <v>7.25</v>
      </c>
      <c r="L59" s="3">
        <v>0.25</v>
      </c>
      <c r="O59" s="3">
        <v>100</v>
      </c>
      <c r="P59" s="3">
        <v>13.155893659593147</v>
      </c>
      <c r="R59" s="3">
        <v>10</v>
      </c>
      <c r="S59" s="4">
        <v>44945</v>
      </c>
      <c r="T59" s="3" t="s">
        <v>199</v>
      </c>
      <c r="U59" s="3" t="s">
        <v>200</v>
      </c>
      <c r="V59">
        <v>21</v>
      </c>
      <c r="W59" t="s">
        <v>73</v>
      </c>
      <c r="X59">
        <v>22</v>
      </c>
      <c r="Y59" t="s">
        <v>73</v>
      </c>
      <c r="Z59">
        <v>11</v>
      </c>
      <c r="AA59" t="s">
        <v>73</v>
      </c>
      <c r="AB59" t="s">
        <v>201</v>
      </c>
      <c r="AC59" s="3" t="s">
        <v>78</v>
      </c>
      <c r="AD59" s="3">
        <v>5</v>
      </c>
      <c r="AE59">
        <v>11</v>
      </c>
      <c r="AF59" t="s">
        <v>73</v>
      </c>
      <c r="AG59" t="s">
        <v>696</v>
      </c>
      <c r="AH59" s="17" t="s">
        <v>697</v>
      </c>
      <c r="AI59" t="s">
        <v>680</v>
      </c>
      <c r="AJ59" s="18" t="s">
        <v>681</v>
      </c>
      <c r="AO59" s="3">
        <v>6.3561484073182909E-3</v>
      </c>
      <c r="AP59" s="3">
        <v>37</v>
      </c>
      <c r="AQ59" s="3">
        <f t="shared" si="0"/>
        <v>0.23517749107077676</v>
      </c>
      <c r="BE59" s="3" t="s">
        <v>185</v>
      </c>
      <c r="BF59" s="3" t="s">
        <v>186</v>
      </c>
      <c r="BG59" s="3" t="s">
        <v>186</v>
      </c>
      <c r="BH59" s="3" t="s">
        <v>186</v>
      </c>
      <c r="BI59" s="3" t="s">
        <v>186</v>
      </c>
      <c r="BJ59" s="3" t="s">
        <v>186</v>
      </c>
      <c r="BK59" s="3" t="s">
        <v>186</v>
      </c>
      <c r="BL59" s="3" t="s">
        <v>186</v>
      </c>
      <c r="BM59" s="3" t="s">
        <v>186</v>
      </c>
      <c r="BN59" s="3" t="s">
        <v>186</v>
      </c>
      <c r="BO59" s="3" t="s">
        <v>186</v>
      </c>
      <c r="BP59" s="3" t="s">
        <v>186</v>
      </c>
      <c r="BQ59" s="3" t="s">
        <v>186</v>
      </c>
      <c r="BR59" s="3" t="s">
        <v>186</v>
      </c>
      <c r="BS59" s="3" t="s">
        <v>186</v>
      </c>
      <c r="BT59" s="3" t="s">
        <v>186</v>
      </c>
      <c r="BU59" s="3" t="s">
        <v>186</v>
      </c>
      <c r="BV59" s="3" t="s">
        <v>186</v>
      </c>
      <c r="BW59" s="3" t="s">
        <v>186</v>
      </c>
      <c r="BX59" s="21" t="s">
        <v>186</v>
      </c>
      <c r="BY59" s="3" t="s">
        <v>186</v>
      </c>
      <c r="BZ59" s="3" t="s">
        <v>186</v>
      </c>
      <c r="CA59" s="3" t="s">
        <v>186</v>
      </c>
      <c r="CB59" s="3" t="s">
        <v>186</v>
      </c>
      <c r="CC59" s="3" t="s">
        <v>186</v>
      </c>
      <c r="CD59" s="3" t="s">
        <v>186</v>
      </c>
      <c r="CE59" s="21" t="s">
        <v>186</v>
      </c>
      <c r="CF59" s="21" t="s">
        <v>186</v>
      </c>
      <c r="CG59" s="3" t="s">
        <v>186</v>
      </c>
      <c r="CH59" s="3" t="s">
        <v>186</v>
      </c>
      <c r="CI59" s="3" t="s">
        <v>186</v>
      </c>
      <c r="CJ59" s="3" t="s">
        <v>186</v>
      </c>
      <c r="CK59" s="3" t="s">
        <v>186</v>
      </c>
      <c r="CL59" s="3" t="s">
        <v>186</v>
      </c>
      <c r="CM59" s="32" t="str">
        <f t="shared" si="2"/>
        <v/>
      </c>
    </row>
    <row r="60" spans="1:91" x14ac:dyDescent="0.55000000000000004">
      <c r="A60" t="s">
        <v>266</v>
      </c>
      <c r="B60" t="s">
        <v>768</v>
      </c>
      <c r="C60" s="3">
        <v>1</v>
      </c>
      <c r="E60" t="s">
        <v>198</v>
      </c>
      <c r="F60">
        <v>5</v>
      </c>
      <c r="G60" t="s">
        <v>88</v>
      </c>
      <c r="H60" s="3">
        <v>11.138736218528878</v>
      </c>
      <c r="I60" s="3" t="s">
        <v>74</v>
      </c>
      <c r="J60" s="3">
        <v>0.2</v>
      </c>
      <c r="K60" s="3">
        <v>7.25</v>
      </c>
      <c r="L60" s="3">
        <v>0.25</v>
      </c>
      <c r="O60" s="3">
        <v>100</v>
      </c>
      <c r="P60" s="3">
        <v>8.9776791583998268</v>
      </c>
      <c r="R60" s="3">
        <v>10</v>
      </c>
      <c r="S60" s="4">
        <v>44945</v>
      </c>
      <c r="T60" s="3" t="s">
        <v>199</v>
      </c>
      <c r="U60" s="3" t="s">
        <v>200</v>
      </c>
      <c r="V60">
        <v>21</v>
      </c>
      <c r="W60" t="s">
        <v>83</v>
      </c>
      <c r="X60">
        <v>22</v>
      </c>
      <c r="Y60" t="s">
        <v>83</v>
      </c>
      <c r="Z60">
        <v>11</v>
      </c>
      <c r="AA60" t="s">
        <v>83</v>
      </c>
      <c r="AB60" t="s">
        <v>201</v>
      </c>
      <c r="AC60" s="3" t="s">
        <v>78</v>
      </c>
      <c r="AD60" s="3">
        <v>5</v>
      </c>
      <c r="AE60">
        <v>11</v>
      </c>
      <c r="AF60" t="s">
        <v>83</v>
      </c>
      <c r="AG60" t="s">
        <v>682</v>
      </c>
      <c r="AH60" s="17" t="s">
        <v>683</v>
      </c>
      <c r="AI60" t="s">
        <v>680</v>
      </c>
      <c r="AJ60" s="18" t="s">
        <v>681</v>
      </c>
      <c r="AO60" s="3">
        <v>7.3966761425759892E-2</v>
      </c>
      <c r="AP60" s="3">
        <v>37</v>
      </c>
      <c r="AQ60" s="3">
        <f t="shared" si="0"/>
        <v>2.7367701727531162</v>
      </c>
      <c r="BE60" s="3" t="s">
        <v>185</v>
      </c>
      <c r="BF60" s="3" t="s">
        <v>186</v>
      </c>
      <c r="BG60" s="3" t="s">
        <v>186</v>
      </c>
      <c r="BH60" s="3" t="s">
        <v>186</v>
      </c>
      <c r="BI60" s="3" t="s">
        <v>186</v>
      </c>
      <c r="BJ60" s="3" t="s">
        <v>186</v>
      </c>
      <c r="BK60" s="3" t="s">
        <v>186</v>
      </c>
      <c r="BL60" s="3" t="s">
        <v>186</v>
      </c>
      <c r="BM60" s="3" t="s">
        <v>186</v>
      </c>
      <c r="BN60" s="3" t="s">
        <v>186</v>
      </c>
      <c r="BO60" s="3" t="s">
        <v>186</v>
      </c>
      <c r="BP60" s="3" t="s">
        <v>186</v>
      </c>
      <c r="BQ60" s="3" t="s">
        <v>186</v>
      </c>
      <c r="BR60" s="3" t="s">
        <v>186</v>
      </c>
      <c r="BS60" s="3" t="s">
        <v>186</v>
      </c>
      <c r="BT60" s="3" t="s">
        <v>186</v>
      </c>
      <c r="BU60" s="3" t="s">
        <v>186</v>
      </c>
      <c r="BV60" s="3" t="s">
        <v>186</v>
      </c>
      <c r="BW60" s="3" t="s">
        <v>186</v>
      </c>
      <c r="BX60" s="21" t="s">
        <v>186</v>
      </c>
      <c r="BY60" s="3" t="s">
        <v>186</v>
      </c>
      <c r="BZ60" s="3" t="s">
        <v>186</v>
      </c>
      <c r="CA60" s="3" t="s">
        <v>186</v>
      </c>
      <c r="CB60" s="3" t="s">
        <v>186</v>
      </c>
      <c r="CC60" s="3" t="s">
        <v>186</v>
      </c>
      <c r="CD60" s="3" t="s">
        <v>186</v>
      </c>
      <c r="CE60" s="21" t="s">
        <v>186</v>
      </c>
      <c r="CF60" s="21" t="s">
        <v>186</v>
      </c>
      <c r="CG60" s="3" t="s">
        <v>186</v>
      </c>
      <c r="CH60" s="3" t="s">
        <v>186</v>
      </c>
      <c r="CI60" s="3" t="s">
        <v>186</v>
      </c>
      <c r="CJ60" s="3" t="s">
        <v>186</v>
      </c>
      <c r="CK60" s="3" t="s">
        <v>186</v>
      </c>
      <c r="CL60" s="3" t="s">
        <v>186</v>
      </c>
      <c r="CM60" s="32" t="str">
        <f t="shared" si="2"/>
        <v/>
      </c>
    </row>
    <row r="61" spans="1:91" x14ac:dyDescent="0.55000000000000004">
      <c r="A61" t="s">
        <v>267</v>
      </c>
      <c r="B61" t="s">
        <v>769</v>
      </c>
      <c r="C61" s="3">
        <v>1</v>
      </c>
      <c r="E61" t="s">
        <v>198</v>
      </c>
      <c r="F61">
        <v>6</v>
      </c>
      <c r="G61" t="s">
        <v>88</v>
      </c>
      <c r="H61" s="3">
        <v>11.974563929570511</v>
      </c>
      <c r="I61" s="3" t="s">
        <v>74</v>
      </c>
      <c r="J61" s="3">
        <v>0.2</v>
      </c>
      <c r="K61" s="3">
        <v>7.25</v>
      </c>
      <c r="L61" s="3">
        <v>0.25</v>
      </c>
      <c r="O61" s="3">
        <v>100</v>
      </c>
      <c r="P61" s="3">
        <v>8.3510347924282762</v>
      </c>
      <c r="R61" s="3">
        <v>10</v>
      </c>
      <c r="S61" s="4">
        <v>44945</v>
      </c>
      <c r="T61" s="3" t="s">
        <v>199</v>
      </c>
      <c r="U61" s="3" t="s">
        <v>200</v>
      </c>
      <c r="V61">
        <v>21</v>
      </c>
      <c r="W61" t="s">
        <v>84</v>
      </c>
      <c r="X61">
        <v>22</v>
      </c>
      <c r="Y61" t="s">
        <v>84</v>
      </c>
      <c r="Z61">
        <v>11</v>
      </c>
      <c r="AA61" t="s">
        <v>84</v>
      </c>
      <c r="AB61" t="s">
        <v>201</v>
      </c>
      <c r="AC61" s="3" t="s">
        <v>78</v>
      </c>
      <c r="AD61" s="3">
        <v>5</v>
      </c>
      <c r="AE61">
        <v>11</v>
      </c>
      <c r="AF61" t="s">
        <v>84</v>
      </c>
      <c r="AG61" t="s">
        <v>686</v>
      </c>
      <c r="AH61" s="17" t="s">
        <v>687</v>
      </c>
      <c r="AI61" t="s">
        <v>680</v>
      </c>
      <c r="AJ61" s="18" t="s">
        <v>681</v>
      </c>
      <c r="AO61" s="3">
        <v>-4.1161892266200172E-2</v>
      </c>
      <c r="AP61" s="3">
        <v>37</v>
      </c>
      <c r="AQ61" s="3">
        <f t="shared" si="0"/>
        <v>-1.5229900138494064</v>
      </c>
      <c r="BE61" s="3" t="s">
        <v>185</v>
      </c>
      <c r="BF61" s="3" t="s">
        <v>186</v>
      </c>
      <c r="BG61" s="3" t="s">
        <v>186</v>
      </c>
      <c r="BH61" s="3" t="s">
        <v>186</v>
      </c>
      <c r="BI61" s="3" t="s">
        <v>186</v>
      </c>
      <c r="BJ61" s="3" t="s">
        <v>186</v>
      </c>
      <c r="BK61" s="3" t="s">
        <v>186</v>
      </c>
      <c r="BL61" s="3" t="s">
        <v>186</v>
      </c>
      <c r="BM61" s="3" t="s">
        <v>186</v>
      </c>
      <c r="BN61" s="3" t="s">
        <v>186</v>
      </c>
      <c r="BO61" s="3" t="s">
        <v>186</v>
      </c>
      <c r="BP61" s="3" t="s">
        <v>186</v>
      </c>
      <c r="BQ61" s="3" t="s">
        <v>186</v>
      </c>
      <c r="BR61" s="3" t="s">
        <v>186</v>
      </c>
      <c r="BS61" s="3" t="s">
        <v>186</v>
      </c>
      <c r="BT61" s="3" t="s">
        <v>186</v>
      </c>
      <c r="BU61" s="3" t="s">
        <v>186</v>
      </c>
      <c r="BV61" s="3" t="s">
        <v>186</v>
      </c>
      <c r="BW61" s="3" t="s">
        <v>186</v>
      </c>
      <c r="BX61" s="21" t="s">
        <v>186</v>
      </c>
      <c r="BY61" s="3" t="s">
        <v>186</v>
      </c>
      <c r="BZ61" s="3" t="s">
        <v>186</v>
      </c>
      <c r="CA61" s="3" t="s">
        <v>186</v>
      </c>
      <c r="CB61" s="3" t="s">
        <v>186</v>
      </c>
      <c r="CC61" s="3" t="s">
        <v>186</v>
      </c>
      <c r="CD61" s="3" t="s">
        <v>186</v>
      </c>
      <c r="CE61" s="21" t="s">
        <v>186</v>
      </c>
      <c r="CF61" s="21" t="s">
        <v>186</v>
      </c>
      <c r="CG61" s="3" t="s">
        <v>186</v>
      </c>
      <c r="CH61" s="3" t="s">
        <v>186</v>
      </c>
      <c r="CI61" s="3" t="s">
        <v>186</v>
      </c>
      <c r="CJ61" s="3" t="s">
        <v>186</v>
      </c>
      <c r="CK61" s="3" t="s">
        <v>186</v>
      </c>
      <c r="CL61" s="3" t="s">
        <v>186</v>
      </c>
      <c r="CM61" s="32" t="str">
        <f t="shared" si="2"/>
        <v/>
      </c>
    </row>
    <row r="62" spans="1:91" x14ac:dyDescent="0.55000000000000004">
      <c r="A62" t="s">
        <v>268</v>
      </c>
      <c r="B62" t="s">
        <v>770</v>
      </c>
      <c r="C62" s="3">
        <v>1</v>
      </c>
      <c r="E62" t="s">
        <v>198</v>
      </c>
      <c r="F62">
        <v>7</v>
      </c>
      <c r="G62" t="s">
        <v>88</v>
      </c>
      <c r="H62" s="3">
        <v>46.354875819634792</v>
      </c>
      <c r="I62" s="3" t="s">
        <v>74</v>
      </c>
      <c r="J62" s="3">
        <v>0.2</v>
      </c>
      <c r="K62" s="3">
        <v>7.25</v>
      </c>
      <c r="L62" s="3">
        <v>0.25</v>
      </c>
      <c r="O62" s="3">
        <v>100</v>
      </c>
      <c r="P62" s="3">
        <v>2.1572703676113063</v>
      </c>
      <c r="R62" s="3">
        <v>10</v>
      </c>
      <c r="S62" s="4">
        <v>44945</v>
      </c>
      <c r="T62" s="3" t="s">
        <v>199</v>
      </c>
      <c r="U62" s="3" t="s">
        <v>200</v>
      </c>
      <c r="V62">
        <v>21</v>
      </c>
      <c r="W62" t="s">
        <v>87</v>
      </c>
      <c r="X62">
        <v>22</v>
      </c>
      <c r="Y62" t="s">
        <v>87</v>
      </c>
      <c r="Z62">
        <v>11</v>
      </c>
      <c r="AA62" t="s">
        <v>87</v>
      </c>
      <c r="AB62" t="s">
        <v>201</v>
      </c>
      <c r="AC62" s="3" t="s">
        <v>78</v>
      </c>
      <c r="AD62" s="3">
        <v>5</v>
      </c>
      <c r="AE62">
        <v>11</v>
      </c>
      <c r="AF62" t="s">
        <v>87</v>
      </c>
      <c r="AG62" t="s">
        <v>688</v>
      </c>
      <c r="AH62" s="17" t="s">
        <v>689</v>
      </c>
      <c r="AI62" t="s">
        <v>680</v>
      </c>
      <c r="AJ62" s="18" t="s">
        <v>681</v>
      </c>
      <c r="AO62" s="3">
        <v>0.18862161965157809</v>
      </c>
      <c r="AP62" s="3">
        <v>37</v>
      </c>
      <c r="AQ62" s="3">
        <f t="shared" si="0"/>
        <v>6.9789999271083891</v>
      </c>
      <c r="BE62" s="3" t="s">
        <v>185</v>
      </c>
      <c r="BF62" s="3" t="s">
        <v>186</v>
      </c>
      <c r="BG62" s="3" t="s">
        <v>186</v>
      </c>
      <c r="BH62" s="3" t="s">
        <v>186</v>
      </c>
      <c r="BI62" s="3" t="s">
        <v>186</v>
      </c>
      <c r="BJ62" s="3" t="s">
        <v>186</v>
      </c>
      <c r="BK62" s="3" t="s">
        <v>186</v>
      </c>
      <c r="BL62" s="3" t="s">
        <v>186</v>
      </c>
      <c r="BM62" s="3" t="s">
        <v>186</v>
      </c>
      <c r="BN62" s="3" t="s">
        <v>186</v>
      </c>
      <c r="BO62" s="3" t="s">
        <v>186</v>
      </c>
      <c r="BP62" s="3" t="s">
        <v>186</v>
      </c>
      <c r="BQ62" s="3" t="s">
        <v>186</v>
      </c>
      <c r="BR62" s="3" t="s">
        <v>186</v>
      </c>
      <c r="BS62" s="3" t="s">
        <v>186</v>
      </c>
      <c r="BT62" s="3" t="s">
        <v>186</v>
      </c>
      <c r="BU62" s="3" t="s">
        <v>186</v>
      </c>
      <c r="BV62" s="3" t="s">
        <v>186</v>
      </c>
      <c r="BW62" s="3" t="s">
        <v>186</v>
      </c>
      <c r="BX62" s="21" t="s">
        <v>186</v>
      </c>
      <c r="BY62" s="3" t="s">
        <v>186</v>
      </c>
      <c r="BZ62" s="3" t="s">
        <v>186</v>
      </c>
      <c r="CA62" s="3" t="s">
        <v>186</v>
      </c>
      <c r="CB62" s="3" t="s">
        <v>186</v>
      </c>
      <c r="CC62" s="3" t="s">
        <v>186</v>
      </c>
      <c r="CD62" s="3" t="s">
        <v>186</v>
      </c>
      <c r="CE62" s="21" t="s">
        <v>186</v>
      </c>
      <c r="CF62" s="21" t="s">
        <v>186</v>
      </c>
      <c r="CG62" s="3" t="s">
        <v>186</v>
      </c>
      <c r="CH62" s="3" t="s">
        <v>186</v>
      </c>
      <c r="CI62" s="3" t="s">
        <v>186</v>
      </c>
      <c r="CJ62" s="3" t="s">
        <v>186</v>
      </c>
      <c r="CK62" s="3" t="s">
        <v>186</v>
      </c>
      <c r="CL62" s="3" t="s">
        <v>186</v>
      </c>
      <c r="CM62" s="32" t="str">
        <f t="shared" si="2"/>
        <v/>
      </c>
    </row>
    <row r="63" spans="1:91" x14ac:dyDescent="0.55000000000000004">
      <c r="A63" t="s">
        <v>269</v>
      </c>
      <c r="B63" t="s">
        <v>771</v>
      </c>
      <c r="C63" s="3">
        <v>1</v>
      </c>
      <c r="E63" t="s">
        <v>198</v>
      </c>
      <c r="F63">
        <v>8</v>
      </c>
      <c r="G63" t="s">
        <v>88</v>
      </c>
      <c r="H63" s="3">
        <v>9.1270569359881506</v>
      </c>
      <c r="I63" s="3" t="s">
        <v>74</v>
      </c>
      <c r="J63" s="3">
        <v>0.2</v>
      </c>
      <c r="K63" s="3">
        <v>7.25</v>
      </c>
      <c r="L63" s="3">
        <v>0.25</v>
      </c>
      <c r="O63" s="3">
        <v>100</v>
      </c>
      <c r="P63" s="3">
        <v>10.95643433599041</v>
      </c>
      <c r="R63" s="3">
        <v>10</v>
      </c>
      <c r="S63" s="4">
        <v>44945</v>
      </c>
      <c r="T63" s="3" t="s">
        <v>199</v>
      </c>
      <c r="U63" s="3" t="s">
        <v>200</v>
      </c>
      <c r="V63">
        <v>21</v>
      </c>
      <c r="W63" t="s">
        <v>88</v>
      </c>
      <c r="X63">
        <v>22</v>
      </c>
      <c r="Y63" t="s">
        <v>88</v>
      </c>
      <c r="Z63">
        <v>11</v>
      </c>
      <c r="AA63" t="s">
        <v>88</v>
      </c>
      <c r="AB63" t="s">
        <v>201</v>
      </c>
      <c r="AC63" s="3" t="s">
        <v>78</v>
      </c>
      <c r="AD63" s="3">
        <v>5</v>
      </c>
      <c r="AE63">
        <v>11</v>
      </c>
      <c r="AF63" t="s">
        <v>88</v>
      </c>
      <c r="AG63" t="s">
        <v>690</v>
      </c>
      <c r="AH63" s="17" t="s">
        <v>691</v>
      </c>
      <c r="AI63" t="s">
        <v>680</v>
      </c>
      <c r="AJ63" s="18" t="s">
        <v>681</v>
      </c>
      <c r="AO63" s="3">
        <v>0.13575333479116553</v>
      </c>
      <c r="AP63" s="3">
        <v>37</v>
      </c>
      <c r="AQ63" s="3">
        <f t="shared" si="0"/>
        <v>5.0228733872731244</v>
      </c>
      <c r="BE63" s="3" t="s">
        <v>185</v>
      </c>
      <c r="BF63" s="3" t="s">
        <v>186</v>
      </c>
      <c r="BG63" s="3" t="s">
        <v>186</v>
      </c>
      <c r="BH63" s="3" t="s">
        <v>186</v>
      </c>
      <c r="BI63" s="3" t="s">
        <v>186</v>
      </c>
      <c r="BJ63" s="3" t="s">
        <v>186</v>
      </c>
      <c r="BK63" s="3" t="s">
        <v>186</v>
      </c>
      <c r="BL63" s="3" t="s">
        <v>186</v>
      </c>
      <c r="BM63" s="3" t="s">
        <v>186</v>
      </c>
      <c r="BN63" s="3" t="s">
        <v>186</v>
      </c>
      <c r="BO63" s="3" t="s">
        <v>186</v>
      </c>
      <c r="BP63" s="3" t="s">
        <v>186</v>
      </c>
      <c r="BQ63" s="3" t="s">
        <v>186</v>
      </c>
      <c r="BR63" s="3" t="s">
        <v>186</v>
      </c>
      <c r="BS63" s="3" t="s">
        <v>186</v>
      </c>
      <c r="BT63" s="3" t="s">
        <v>186</v>
      </c>
      <c r="BU63" s="3" t="s">
        <v>186</v>
      </c>
      <c r="BV63" s="3" t="s">
        <v>186</v>
      </c>
      <c r="BW63" s="3" t="s">
        <v>186</v>
      </c>
      <c r="BX63" s="21" t="s">
        <v>186</v>
      </c>
      <c r="BY63" s="3" t="s">
        <v>186</v>
      </c>
      <c r="BZ63" s="3" t="s">
        <v>186</v>
      </c>
      <c r="CA63" s="3" t="s">
        <v>186</v>
      </c>
      <c r="CB63" s="3" t="s">
        <v>186</v>
      </c>
      <c r="CC63" s="3" t="s">
        <v>186</v>
      </c>
      <c r="CD63" s="3" t="s">
        <v>186</v>
      </c>
      <c r="CE63" s="21" t="s">
        <v>186</v>
      </c>
      <c r="CF63" s="21" t="s">
        <v>186</v>
      </c>
      <c r="CG63" s="3" t="s">
        <v>186</v>
      </c>
      <c r="CH63" s="3" t="s">
        <v>186</v>
      </c>
      <c r="CI63" s="3" t="s">
        <v>186</v>
      </c>
      <c r="CJ63" s="3" t="s">
        <v>186</v>
      </c>
      <c r="CK63" s="3" t="s">
        <v>186</v>
      </c>
      <c r="CL63" s="3" t="s">
        <v>186</v>
      </c>
      <c r="CM63" s="32" t="str">
        <f t="shared" si="2"/>
        <v/>
      </c>
    </row>
    <row r="64" spans="1:91" x14ac:dyDescent="0.55000000000000004">
      <c r="A64" t="s">
        <v>270</v>
      </c>
      <c r="B64" t="s">
        <v>772</v>
      </c>
      <c r="C64" s="3">
        <v>1</v>
      </c>
      <c r="E64" t="s">
        <v>198</v>
      </c>
      <c r="F64">
        <v>9</v>
      </c>
      <c r="G64" t="s">
        <v>88</v>
      </c>
      <c r="H64" s="3">
        <v>41.745528221161749</v>
      </c>
      <c r="I64" s="3" t="s">
        <v>74</v>
      </c>
      <c r="J64" s="3">
        <v>0.2</v>
      </c>
      <c r="K64" s="3">
        <v>7.25</v>
      </c>
      <c r="L64" s="3">
        <v>0.25</v>
      </c>
      <c r="O64" s="3">
        <v>100</v>
      </c>
      <c r="P64" s="3">
        <v>2.3954661555655616</v>
      </c>
      <c r="R64" s="3">
        <v>10</v>
      </c>
      <c r="S64" s="4">
        <v>44945</v>
      </c>
      <c r="T64" s="3" t="s">
        <v>199</v>
      </c>
      <c r="U64" s="3" t="s">
        <v>200</v>
      </c>
      <c r="V64">
        <v>21</v>
      </c>
      <c r="W64" t="s">
        <v>91</v>
      </c>
      <c r="X64">
        <v>22</v>
      </c>
      <c r="Y64" t="s">
        <v>91</v>
      </c>
      <c r="Z64">
        <v>11</v>
      </c>
      <c r="AA64" t="s">
        <v>91</v>
      </c>
      <c r="AB64" t="s">
        <v>201</v>
      </c>
      <c r="AC64" s="3" t="s">
        <v>78</v>
      </c>
      <c r="AD64" s="3">
        <v>5</v>
      </c>
      <c r="AE64">
        <v>11</v>
      </c>
      <c r="AF64" t="s">
        <v>91</v>
      </c>
      <c r="AG64" t="s">
        <v>692</v>
      </c>
      <c r="AH64" s="17" t="s">
        <v>693</v>
      </c>
      <c r="AI64" t="s">
        <v>680</v>
      </c>
      <c r="AJ64" s="18" t="s">
        <v>681</v>
      </c>
      <c r="AO64" s="3">
        <v>1.7891245717617899E-2</v>
      </c>
      <c r="AP64" s="3">
        <v>37</v>
      </c>
      <c r="AQ64" s="3">
        <f t="shared" si="0"/>
        <v>0.66197609155186232</v>
      </c>
      <c r="BE64" s="3" t="s">
        <v>185</v>
      </c>
      <c r="BF64" s="3" t="s">
        <v>186</v>
      </c>
      <c r="BG64" s="3" t="s">
        <v>186</v>
      </c>
      <c r="BH64" s="3" t="s">
        <v>186</v>
      </c>
      <c r="BI64" s="3" t="s">
        <v>186</v>
      </c>
      <c r="BJ64" s="3" t="s">
        <v>186</v>
      </c>
      <c r="BK64" s="3" t="s">
        <v>186</v>
      </c>
      <c r="BL64" s="3" t="s">
        <v>186</v>
      </c>
      <c r="BM64" s="3" t="s">
        <v>186</v>
      </c>
      <c r="BN64" s="3" t="s">
        <v>186</v>
      </c>
      <c r="BO64" s="3" t="s">
        <v>186</v>
      </c>
      <c r="BP64" s="3" t="s">
        <v>186</v>
      </c>
      <c r="BQ64" s="3" t="s">
        <v>186</v>
      </c>
      <c r="BR64" s="3" t="s">
        <v>186</v>
      </c>
      <c r="BS64" s="3" t="s">
        <v>186</v>
      </c>
      <c r="BT64" s="3" t="s">
        <v>186</v>
      </c>
      <c r="BU64" s="3" t="s">
        <v>186</v>
      </c>
      <c r="BV64" s="3" t="s">
        <v>186</v>
      </c>
      <c r="BW64" s="3" t="s">
        <v>186</v>
      </c>
      <c r="BX64" s="21" t="s">
        <v>186</v>
      </c>
      <c r="BY64" s="3" t="s">
        <v>186</v>
      </c>
      <c r="BZ64" s="3" t="s">
        <v>186</v>
      </c>
      <c r="CA64" s="3" t="s">
        <v>186</v>
      </c>
      <c r="CB64" s="3" t="s">
        <v>186</v>
      </c>
      <c r="CC64" s="3" t="s">
        <v>186</v>
      </c>
      <c r="CD64" s="3" t="s">
        <v>186</v>
      </c>
      <c r="CE64" s="21" t="s">
        <v>186</v>
      </c>
      <c r="CF64" s="21" t="s">
        <v>186</v>
      </c>
      <c r="CG64" s="3" t="s">
        <v>186</v>
      </c>
      <c r="CH64" s="3" t="s">
        <v>186</v>
      </c>
      <c r="CI64" s="3" t="s">
        <v>186</v>
      </c>
      <c r="CJ64" s="3" t="s">
        <v>186</v>
      </c>
      <c r="CK64" s="3" t="s">
        <v>186</v>
      </c>
      <c r="CL64" s="3" t="s">
        <v>186</v>
      </c>
      <c r="CM64" s="32" t="str">
        <f t="shared" si="2"/>
        <v/>
      </c>
    </row>
    <row r="65" spans="1:96" x14ac:dyDescent="0.55000000000000004">
      <c r="A65" t="s">
        <v>271</v>
      </c>
      <c r="B65" t="s">
        <v>773</v>
      </c>
      <c r="C65" s="3">
        <v>1</v>
      </c>
      <c r="E65" t="s">
        <v>198</v>
      </c>
      <c r="F65">
        <v>10</v>
      </c>
      <c r="G65" t="s">
        <v>88</v>
      </c>
      <c r="H65" s="3">
        <v>12.204097416488398</v>
      </c>
      <c r="I65" s="3" t="s">
        <v>74</v>
      </c>
      <c r="J65" s="3">
        <v>0.2</v>
      </c>
      <c r="K65" s="3">
        <v>7.25</v>
      </c>
      <c r="L65" s="3">
        <v>0.25</v>
      </c>
      <c r="O65" s="3">
        <v>100</v>
      </c>
      <c r="P65" s="3">
        <v>8.1939693356507117</v>
      </c>
      <c r="R65" s="3">
        <v>10</v>
      </c>
      <c r="S65" s="4">
        <v>44945</v>
      </c>
      <c r="T65" s="3" t="s">
        <v>199</v>
      </c>
      <c r="U65" s="3" t="s">
        <v>200</v>
      </c>
      <c r="V65">
        <v>21</v>
      </c>
      <c r="W65" t="s">
        <v>92</v>
      </c>
      <c r="X65">
        <v>22</v>
      </c>
      <c r="Y65" t="s">
        <v>92</v>
      </c>
      <c r="Z65">
        <v>11</v>
      </c>
      <c r="AA65" t="s">
        <v>92</v>
      </c>
      <c r="AB65" t="s">
        <v>201</v>
      </c>
      <c r="AC65" s="3" t="s">
        <v>78</v>
      </c>
      <c r="AD65" s="3">
        <v>5</v>
      </c>
      <c r="AE65">
        <v>11</v>
      </c>
      <c r="AF65" t="s">
        <v>92</v>
      </c>
      <c r="AG65" t="s">
        <v>694</v>
      </c>
      <c r="AH65" s="17" t="s">
        <v>695</v>
      </c>
      <c r="AI65" t="s">
        <v>680</v>
      </c>
      <c r="AJ65" s="18" t="s">
        <v>681</v>
      </c>
      <c r="AO65" s="3">
        <v>3.2600772651067839E-2</v>
      </c>
      <c r="AP65" s="3">
        <v>37</v>
      </c>
      <c r="AQ65" s="3">
        <f t="shared" si="0"/>
        <v>1.2062285880895101</v>
      </c>
      <c r="BE65" s="3" t="s">
        <v>185</v>
      </c>
      <c r="BF65" s="3" t="s">
        <v>186</v>
      </c>
      <c r="BG65" s="3" t="s">
        <v>186</v>
      </c>
      <c r="BH65" s="3" t="s">
        <v>186</v>
      </c>
      <c r="BI65" s="3" t="s">
        <v>186</v>
      </c>
      <c r="BJ65" s="3" t="s">
        <v>186</v>
      </c>
      <c r="BK65" s="3" t="s">
        <v>186</v>
      </c>
      <c r="BL65" s="3" t="s">
        <v>186</v>
      </c>
      <c r="BM65" s="3" t="s">
        <v>186</v>
      </c>
      <c r="BN65" s="3" t="s">
        <v>186</v>
      </c>
      <c r="BO65" s="3" t="s">
        <v>186</v>
      </c>
      <c r="BP65" s="3" t="s">
        <v>186</v>
      </c>
      <c r="BQ65" s="3" t="s">
        <v>186</v>
      </c>
      <c r="BR65" s="3" t="s">
        <v>186</v>
      </c>
      <c r="BS65" s="3" t="s">
        <v>186</v>
      </c>
      <c r="BT65" s="3" t="s">
        <v>186</v>
      </c>
      <c r="BU65" s="3" t="s">
        <v>186</v>
      </c>
      <c r="BV65" s="3" t="s">
        <v>186</v>
      </c>
      <c r="BW65" s="3" t="s">
        <v>186</v>
      </c>
      <c r="BX65" s="21" t="s">
        <v>186</v>
      </c>
      <c r="BY65" s="3" t="s">
        <v>186</v>
      </c>
      <c r="BZ65" s="3" t="s">
        <v>186</v>
      </c>
      <c r="CA65" s="3" t="s">
        <v>186</v>
      </c>
      <c r="CB65" s="3" t="s">
        <v>186</v>
      </c>
      <c r="CC65" s="3" t="s">
        <v>186</v>
      </c>
      <c r="CD65" s="3" t="s">
        <v>186</v>
      </c>
      <c r="CE65" s="21" t="s">
        <v>186</v>
      </c>
      <c r="CF65" s="21" t="s">
        <v>186</v>
      </c>
      <c r="CG65" s="3" t="s">
        <v>186</v>
      </c>
      <c r="CH65" s="3" t="s">
        <v>186</v>
      </c>
      <c r="CI65" s="3" t="s">
        <v>186</v>
      </c>
      <c r="CJ65" s="3" t="s">
        <v>186</v>
      </c>
      <c r="CK65" s="3" t="s">
        <v>186</v>
      </c>
      <c r="CL65" s="3" t="s">
        <v>186</v>
      </c>
      <c r="CM65" s="32" t="str">
        <f t="shared" si="2"/>
        <v/>
      </c>
    </row>
    <row r="66" spans="1:96" x14ac:dyDescent="0.55000000000000004">
      <c r="A66" t="s">
        <v>272</v>
      </c>
      <c r="B66" t="s">
        <v>774</v>
      </c>
      <c r="C66" s="3">
        <v>1</v>
      </c>
      <c r="E66" t="s">
        <v>198</v>
      </c>
      <c r="F66">
        <v>11</v>
      </c>
      <c r="G66" t="s">
        <v>88</v>
      </c>
      <c r="H66" s="3">
        <v>16.361827381931874</v>
      </c>
      <c r="I66" s="3" t="s">
        <v>74</v>
      </c>
      <c r="J66" s="3">
        <v>0.2</v>
      </c>
      <c r="K66" s="3">
        <v>7.25</v>
      </c>
      <c r="L66" s="3">
        <v>0.25</v>
      </c>
      <c r="O66" s="3">
        <v>100</v>
      </c>
      <c r="P66" s="3">
        <v>6.1117867623043454</v>
      </c>
      <c r="R66" s="3">
        <v>10</v>
      </c>
      <c r="S66" s="4">
        <v>44945</v>
      </c>
      <c r="T66" s="3" t="s">
        <v>199</v>
      </c>
      <c r="U66" s="3" t="s">
        <v>200</v>
      </c>
      <c r="V66">
        <v>23</v>
      </c>
      <c r="W66" t="s">
        <v>73</v>
      </c>
      <c r="X66">
        <v>24</v>
      </c>
      <c r="Y66" t="s">
        <v>73</v>
      </c>
      <c r="Z66">
        <v>12</v>
      </c>
      <c r="AA66" t="s">
        <v>73</v>
      </c>
      <c r="AB66" t="s">
        <v>201</v>
      </c>
      <c r="AC66" s="3" t="s">
        <v>78</v>
      </c>
      <c r="AD66" s="3">
        <v>5</v>
      </c>
      <c r="AE66">
        <v>12</v>
      </c>
      <c r="AF66" t="s">
        <v>73</v>
      </c>
      <c r="AG66" t="s">
        <v>696</v>
      </c>
      <c r="AH66" s="17" t="s">
        <v>697</v>
      </c>
      <c r="AI66" t="s">
        <v>702</v>
      </c>
      <c r="AJ66" s="18" t="s">
        <v>703</v>
      </c>
      <c r="AO66" s="3">
        <v>3.4794810117355482E-2</v>
      </c>
      <c r="AP66" s="3">
        <v>37</v>
      </c>
      <c r="AQ66" s="3">
        <f t="shared" ref="AQ66:AQ129" si="3">AO66*AP66</f>
        <v>1.2874079743421529</v>
      </c>
      <c r="BE66" s="3" t="s">
        <v>185</v>
      </c>
      <c r="BF66" s="3" t="s">
        <v>186</v>
      </c>
      <c r="BG66" s="3" t="s">
        <v>186</v>
      </c>
      <c r="BH66" s="3" t="s">
        <v>186</v>
      </c>
      <c r="BI66" s="3" t="s">
        <v>186</v>
      </c>
      <c r="BJ66" s="3" t="s">
        <v>186</v>
      </c>
      <c r="BK66" s="3" t="s">
        <v>186</v>
      </c>
      <c r="BL66" s="3" t="s">
        <v>186</v>
      </c>
      <c r="BM66" s="3" t="s">
        <v>186</v>
      </c>
      <c r="BN66" s="3" t="s">
        <v>186</v>
      </c>
      <c r="BO66" s="3" t="s">
        <v>186</v>
      </c>
      <c r="BP66" s="3" t="s">
        <v>186</v>
      </c>
      <c r="BQ66" s="3" t="s">
        <v>186</v>
      </c>
      <c r="BR66" s="3" t="s">
        <v>186</v>
      </c>
      <c r="BS66" s="3" t="s">
        <v>186</v>
      </c>
      <c r="BT66" s="3" t="s">
        <v>186</v>
      </c>
      <c r="BU66" s="3" t="s">
        <v>186</v>
      </c>
      <c r="BV66" s="3" t="s">
        <v>186</v>
      </c>
      <c r="BW66" s="3" t="s">
        <v>186</v>
      </c>
      <c r="BX66" s="21" t="s">
        <v>186</v>
      </c>
      <c r="BY66" s="3" t="s">
        <v>186</v>
      </c>
      <c r="BZ66" s="3" t="s">
        <v>186</v>
      </c>
      <c r="CA66" s="3" t="s">
        <v>186</v>
      </c>
      <c r="CB66" s="3" t="s">
        <v>186</v>
      </c>
      <c r="CC66" s="3" t="s">
        <v>186</v>
      </c>
      <c r="CD66" s="3" t="s">
        <v>186</v>
      </c>
      <c r="CE66" s="21" t="s">
        <v>186</v>
      </c>
      <c r="CF66" s="21" t="s">
        <v>186</v>
      </c>
      <c r="CG66" s="3" t="s">
        <v>186</v>
      </c>
      <c r="CH66" s="3" t="s">
        <v>186</v>
      </c>
      <c r="CI66" s="3" t="s">
        <v>186</v>
      </c>
      <c r="CJ66" s="3" t="s">
        <v>186</v>
      </c>
      <c r="CK66" s="3" t="s">
        <v>186</v>
      </c>
      <c r="CL66" s="3" t="s">
        <v>186</v>
      </c>
      <c r="CM66" s="32" t="str">
        <f t="shared" ref="CM66:CM97" si="4">IF(CL66="N/A","",CD66)</f>
        <v/>
      </c>
    </row>
    <row r="67" spans="1:96" x14ac:dyDescent="0.55000000000000004">
      <c r="A67" t="s">
        <v>273</v>
      </c>
      <c r="B67" t="s">
        <v>775</v>
      </c>
      <c r="C67" s="3">
        <v>1</v>
      </c>
      <c r="E67" t="s">
        <v>198</v>
      </c>
      <c r="F67">
        <v>12</v>
      </c>
      <c r="G67" t="s">
        <v>88</v>
      </c>
      <c r="H67" s="3">
        <v>24.361876748395588</v>
      </c>
      <c r="I67" s="3" t="s">
        <v>74</v>
      </c>
      <c r="J67" s="3">
        <v>0.2</v>
      </c>
      <c r="K67" s="3">
        <v>7.25</v>
      </c>
      <c r="L67" s="3">
        <v>0.25</v>
      </c>
      <c r="O67" s="3">
        <v>100</v>
      </c>
      <c r="P67" s="3">
        <v>4.1047740710939173</v>
      </c>
      <c r="R67" s="3">
        <v>10</v>
      </c>
      <c r="S67" s="4">
        <v>44945</v>
      </c>
      <c r="T67" s="3" t="s">
        <v>199</v>
      </c>
      <c r="U67" s="3" t="s">
        <v>200</v>
      </c>
      <c r="V67">
        <v>23</v>
      </c>
      <c r="W67" t="s">
        <v>76</v>
      </c>
      <c r="X67">
        <v>24</v>
      </c>
      <c r="Y67" t="s">
        <v>76</v>
      </c>
      <c r="Z67">
        <v>12</v>
      </c>
      <c r="AA67" t="s">
        <v>76</v>
      </c>
      <c r="AB67" t="s">
        <v>201</v>
      </c>
      <c r="AC67" s="3" t="s">
        <v>78</v>
      </c>
      <c r="AD67" s="3">
        <v>5</v>
      </c>
      <c r="AE67">
        <v>12</v>
      </c>
      <c r="AF67" t="s">
        <v>76</v>
      </c>
      <c r="AG67" t="s">
        <v>700</v>
      </c>
      <c r="AH67" s="17" t="s">
        <v>701</v>
      </c>
      <c r="AI67" t="s">
        <v>702</v>
      </c>
      <c r="AJ67" s="18" t="s">
        <v>703</v>
      </c>
      <c r="AO67" s="3">
        <v>0.19638457613528681</v>
      </c>
      <c r="AP67" s="3">
        <v>37</v>
      </c>
      <c r="AQ67" s="3">
        <f t="shared" si="3"/>
        <v>7.266229317005612</v>
      </c>
      <c r="BE67" s="3" t="s">
        <v>185</v>
      </c>
      <c r="BF67" s="3" t="s">
        <v>186</v>
      </c>
      <c r="BG67" s="3" t="s">
        <v>186</v>
      </c>
      <c r="BH67" s="3" t="s">
        <v>186</v>
      </c>
      <c r="BI67" s="3" t="s">
        <v>186</v>
      </c>
      <c r="BJ67" s="3" t="s">
        <v>186</v>
      </c>
      <c r="BK67" s="3" t="s">
        <v>186</v>
      </c>
      <c r="BL67" s="3" t="s">
        <v>186</v>
      </c>
      <c r="BM67" s="3" t="s">
        <v>186</v>
      </c>
      <c r="BN67" s="3" t="s">
        <v>186</v>
      </c>
      <c r="BO67" s="3" t="s">
        <v>186</v>
      </c>
      <c r="BP67" s="3" t="s">
        <v>186</v>
      </c>
      <c r="BQ67" s="3" t="s">
        <v>186</v>
      </c>
      <c r="BR67" s="3" t="s">
        <v>186</v>
      </c>
      <c r="BS67" s="3" t="s">
        <v>186</v>
      </c>
      <c r="BT67" s="3" t="s">
        <v>186</v>
      </c>
      <c r="BU67" s="3" t="s">
        <v>186</v>
      </c>
      <c r="BV67" s="3" t="s">
        <v>186</v>
      </c>
      <c r="BW67" s="3" t="s">
        <v>186</v>
      </c>
      <c r="BX67" s="21" t="s">
        <v>186</v>
      </c>
      <c r="BY67" s="3" t="s">
        <v>186</v>
      </c>
      <c r="BZ67" s="3" t="s">
        <v>186</v>
      </c>
      <c r="CA67" s="3" t="s">
        <v>186</v>
      </c>
      <c r="CB67" s="3" t="s">
        <v>186</v>
      </c>
      <c r="CC67" s="3" t="s">
        <v>186</v>
      </c>
      <c r="CD67" s="3" t="s">
        <v>186</v>
      </c>
      <c r="CE67" s="21" t="s">
        <v>186</v>
      </c>
      <c r="CF67" s="21" t="s">
        <v>186</v>
      </c>
      <c r="CG67" s="3" t="s">
        <v>186</v>
      </c>
      <c r="CH67" s="3" t="s">
        <v>186</v>
      </c>
      <c r="CI67" s="3" t="s">
        <v>186</v>
      </c>
      <c r="CJ67" s="3" t="s">
        <v>186</v>
      </c>
      <c r="CK67" s="3" t="s">
        <v>186</v>
      </c>
      <c r="CL67" s="3" t="s">
        <v>186</v>
      </c>
      <c r="CM67" s="32" t="str">
        <f t="shared" si="4"/>
        <v/>
      </c>
    </row>
    <row r="68" spans="1:96" x14ac:dyDescent="0.55000000000000004">
      <c r="A68" t="s">
        <v>274</v>
      </c>
      <c r="B68" t="s">
        <v>776</v>
      </c>
      <c r="C68" s="3">
        <v>1</v>
      </c>
      <c r="E68" t="s">
        <v>198</v>
      </c>
      <c r="F68">
        <v>1</v>
      </c>
      <c r="G68" t="s">
        <v>91</v>
      </c>
      <c r="H68" s="3">
        <v>7.0557223959190392</v>
      </c>
      <c r="I68" s="3" t="s">
        <v>74</v>
      </c>
      <c r="J68" s="3">
        <v>0.2</v>
      </c>
      <c r="K68" s="3">
        <v>7.25</v>
      </c>
      <c r="L68" s="3">
        <v>0.25</v>
      </c>
      <c r="O68" s="3">
        <v>100</v>
      </c>
      <c r="P68" s="3">
        <v>14.172893204789212</v>
      </c>
      <c r="R68" s="3">
        <v>10</v>
      </c>
      <c r="S68" s="4">
        <v>44945</v>
      </c>
      <c r="T68" s="3" t="s">
        <v>199</v>
      </c>
      <c r="U68" s="3" t="s">
        <v>200</v>
      </c>
      <c r="V68">
        <v>23</v>
      </c>
      <c r="W68" t="s">
        <v>83</v>
      </c>
      <c r="X68">
        <v>24</v>
      </c>
      <c r="Y68" t="s">
        <v>83</v>
      </c>
      <c r="Z68">
        <v>12</v>
      </c>
      <c r="AA68" t="s">
        <v>83</v>
      </c>
      <c r="AB68" t="s">
        <v>201</v>
      </c>
      <c r="AC68" s="3" t="s">
        <v>78</v>
      </c>
      <c r="AD68" s="3">
        <v>5</v>
      </c>
      <c r="AE68">
        <v>12</v>
      </c>
      <c r="AF68" t="s">
        <v>83</v>
      </c>
      <c r="AG68" t="s">
        <v>682</v>
      </c>
      <c r="AH68" s="17" t="s">
        <v>683</v>
      </c>
      <c r="AI68" t="s">
        <v>702</v>
      </c>
      <c r="AJ68" s="18" t="s">
        <v>703</v>
      </c>
      <c r="AO68" s="3">
        <v>-3.2812158320577302E-2</v>
      </c>
      <c r="AP68" s="3">
        <v>37</v>
      </c>
      <c r="AQ68" s="3">
        <f t="shared" si="3"/>
        <v>-1.2140498578613601</v>
      </c>
      <c r="BE68" s="3" t="s">
        <v>185</v>
      </c>
      <c r="BF68" s="3" t="s">
        <v>186</v>
      </c>
      <c r="BG68" s="3" t="s">
        <v>186</v>
      </c>
      <c r="BH68" s="3" t="s">
        <v>186</v>
      </c>
      <c r="BI68" s="3" t="s">
        <v>186</v>
      </c>
      <c r="BJ68" s="3" t="s">
        <v>186</v>
      </c>
      <c r="BK68" s="3" t="s">
        <v>186</v>
      </c>
      <c r="BL68" s="3" t="s">
        <v>186</v>
      </c>
      <c r="BM68" s="3" t="s">
        <v>186</v>
      </c>
      <c r="BN68" s="3" t="s">
        <v>186</v>
      </c>
      <c r="BO68" s="3" t="s">
        <v>186</v>
      </c>
      <c r="BP68" s="3" t="s">
        <v>186</v>
      </c>
      <c r="BQ68" s="3" t="s">
        <v>186</v>
      </c>
      <c r="BR68" s="3" t="s">
        <v>186</v>
      </c>
      <c r="BS68" s="3" t="s">
        <v>186</v>
      </c>
      <c r="BT68" s="3" t="s">
        <v>186</v>
      </c>
      <c r="BU68" s="3" t="s">
        <v>186</v>
      </c>
      <c r="BV68" s="3" t="s">
        <v>186</v>
      </c>
      <c r="BW68" s="3" t="s">
        <v>186</v>
      </c>
      <c r="BX68" s="21" t="s">
        <v>186</v>
      </c>
      <c r="BY68" s="3" t="s">
        <v>186</v>
      </c>
      <c r="BZ68" s="3" t="s">
        <v>186</v>
      </c>
      <c r="CA68" s="3" t="s">
        <v>186</v>
      </c>
      <c r="CB68" s="3" t="s">
        <v>186</v>
      </c>
      <c r="CC68" s="3" t="s">
        <v>186</v>
      </c>
      <c r="CD68" s="3" t="s">
        <v>186</v>
      </c>
      <c r="CE68" s="21" t="s">
        <v>186</v>
      </c>
      <c r="CF68" s="21" t="s">
        <v>186</v>
      </c>
      <c r="CG68" s="3" t="s">
        <v>186</v>
      </c>
      <c r="CH68" s="3" t="s">
        <v>186</v>
      </c>
      <c r="CI68" s="3" t="s">
        <v>186</v>
      </c>
      <c r="CJ68" s="3" t="s">
        <v>186</v>
      </c>
      <c r="CK68" s="3" t="s">
        <v>186</v>
      </c>
      <c r="CL68" s="3" t="s">
        <v>186</v>
      </c>
      <c r="CM68" s="32" t="str">
        <f t="shared" si="4"/>
        <v/>
      </c>
    </row>
    <row r="69" spans="1:96" x14ac:dyDescent="0.55000000000000004">
      <c r="A69" t="s">
        <v>276</v>
      </c>
      <c r="B69" t="s">
        <v>777</v>
      </c>
      <c r="C69" s="3">
        <v>1</v>
      </c>
      <c r="E69" t="s">
        <v>198</v>
      </c>
      <c r="F69">
        <v>3</v>
      </c>
      <c r="G69" t="s">
        <v>91</v>
      </c>
      <c r="H69" s="3">
        <v>17.089867533322362</v>
      </c>
      <c r="I69" s="3" t="s">
        <v>74</v>
      </c>
      <c r="J69" s="3">
        <v>0.2</v>
      </c>
      <c r="K69" s="3">
        <v>7.25</v>
      </c>
      <c r="L69" s="3">
        <v>0.25</v>
      </c>
      <c r="O69" s="3">
        <v>100</v>
      </c>
      <c r="P69" s="3">
        <v>5.851420428216711</v>
      </c>
      <c r="R69" s="3">
        <v>10</v>
      </c>
      <c r="S69" s="4">
        <v>44945</v>
      </c>
      <c r="T69" s="3" t="s">
        <v>199</v>
      </c>
      <c r="U69" s="3" t="s">
        <v>200</v>
      </c>
      <c r="V69">
        <v>23</v>
      </c>
      <c r="W69" t="s">
        <v>87</v>
      </c>
      <c r="X69">
        <v>24</v>
      </c>
      <c r="Y69" t="s">
        <v>87</v>
      </c>
      <c r="Z69">
        <v>12</v>
      </c>
      <c r="AA69" t="s">
        <v>87</v>
      </c>
      <c r="AB69" t="s">
        <v>201</v>
      </c>
      <c r="AC69" s="3" t="s">
        <v>78</v>
      </c>
      <c r="AD69" s="3">
        <v>5</v>
      </c>
      <c r="AE69">
        <v>12</v>
      </c>
      <c r="AF69" t="s">
        <v>87</v>
      </c>
      <c r="AG69" t="s">
        <v>688</v>
      </c>
      <c r="AH69" s="17" t="s">
        <v>689</v>
      </c>
      <c r="AI69" t="s">
        <v>702</v>
      </c>
      <c r="AJ69" s="18" t="s">
        <v>703</v>
      </c>
      <c r="AO69" s="3">
        <v>0.29534222610977479</v>
      </c>
      <c r="AP69" s="3">
        <v>37</v>
      </c>
      <c r="AQ69" s="3">
        <f t="shared" si="3"/>
        <v>10.927662366061668</v>
      </c>
      <c r="BE69" s="3" t="s">
        <v>185</v>
      </c>
      <c r="BF69" s="3" t="s">
        <v>186</v>
      </c>
      <c r="BG69" s="3" t="s">
        <v>186</v>
      </c>
      <c r="BH69" s="3" t="s">
        <v>186</v>
      </c>
      <c r="BI69" s="3" t="s">
        <v>186</v>
      </c>
      <c r="BJ69" s="3" t="s">
        <v>186</v>
      </c>
      <c r="BK69" s="3" t="s">
        <v>186</v>
      </c>
      <c r="BL69" s="3" t="s">
        <v>186</v>
      </c>
      <c r="BM69" s="3" t="s">
        <v>186</v>
      </c>
      <c r="BN69" s="3" t="s">
        <v>186</v>
      </c>
      <c r="BO69" s="3" t="s">
        <v>186</v>
      </c>
      <c r="BP69" s="3" t="s">
        <v>186</v>
      </c>
      <c r="BQ69" s="3" t="s">
        <v>186</v>
      </c>
      <c r="BR69" s="3" t="s">
        <v>186</v>
      </c>
      <c r="BS69" s="3" t="s">
        <v>186</v>
      </c>
      <c r="BT69" s="3" t="s">
        <v>186</v>
      </c>
      <c r="BU69" s="3" t="s">
        <v>186</v>
      </c>
      <c r="BV69" s="3" t="s">
        <v>186</v>
      </c>
      <c r="BW69" s="3" t="s">
        <v>186</v>
      </c>
      <c r="BX69" s="21" t="s">
        <v>186</v>
      </c>
      <c r="BY69" s="3" t="s">
        <v>186</v>
      </c>
      <c r="BZ69" s="3" t="s">
        <v>186</v>
      </c>
      <c r="CA69" s="3" t="s">
        <v>186</v>
      </c>
      <c r="CB69" s="3" t="s">
        <v>186</v>
      </c>
      <c r="CC69" s="3" t="s">
        <v>186</v>
      </c>
      <c r="CD69" s="3" t="s">
        <v>186</v>
      </c>
      <c r="CE69" s="21" t="s">
        <v>186</v>
      </c>
      <c r="CF69" s="21" t="s">
        <v>186</v>
      </c>
      <c r="CG69" s="3" t="s">
        <v>186</v>
      </c>
      <c r="CH69" s="3" t="s">
        <v>186</v>
      </c>
      <c r="CI69" s="3" t="s">
        <v>186</v>
      </c>
      <c r="CJ69" s="3" t="s">
        <v>186</v>
      </c>
      <c r="CK69" s="3" t="s">
        <v>186</v>
      </c>
      <c r="CL69" s="3" t="s">
        <v>186</v>
      </c>
      <c r="CM69" s="32" t="str">
        <f t="shared" si="4"/>
        <v/>
      </c>
    </row>
    <row r="70" spans="1:96" x14ac:dyDescent="0.55000000000000004">
      <c r="A70" t="s">
        <v>277</v>
      </c>
      <c r="B70" t="s">
        <v>778</v>
      </c>
      <c r="C70" s="3">
        <v>1</v>
      </c>
      <c r="E70" t="s">
        <v>198</v>
      </c>
      <c r="F70">
        <v>4</v>
      </c>
      <c r="G70" t="s">
        <v>91</v>
      </c>
      <c r="H70" s="3">
        <v>11.384906203718941</v>
      </c>
      <c r="I70" s="3" t="s">
        <v>74</v>
      </c>
      <c r="J70" s="3">
        <v>0.2</v>
      </c>
      <c r="K70" s="3">
        <v>7.25</v>
      </c>
      <c r="L70" s="3">
        <v>0.25</v>
      </c>
      <c r="O70" s="3">
        <v>100</v>
      </c>
      <c r="P70" s="3">
        <v>8.7835594084503263</v>
      </c>
      <c r="R70" s="3">
        <v>10</v>
      </c>
      <c r="S70" s="4">
        <v>44945</v>
      </c>
      <c r="T70" s="3" t="s">
        <v>199</v>
      </c>
      <c r="U70" s="3" t="s">
        <v>200</v>
      </c>
      <c r="V70">
        <v>23</v>
      </c>
      <c r="W70" t="s">
        <v>88</v>
      </c>
      <c r="X70">
        <v>24</v>
      </c>
      <c r="Y70" t="s">
        <v>88</v>
      </c>
      <c r="Z70">
        <v>12</v>
      </c>
      <c r="AA70" t="s">
        <v>88</v>
      </c>
      <c r="AB70" t="s">
        <v>201</v>
      </c>
      <c r="AC70" s="3" t="s">
        <v>78</v>
      </c>
      <c r="AD70" s="3">
        <v>5</v>
      </c>
      <c r="AE70">
        <v>12</v>
      </c>
      <c r="AF70" t="s">
        <v>88</v>
      </c>
      <c r="AG70" t="s">
        <v>690</v>
      </c>
      <c r="AH70" s="17" t="s">
        <v>691</v>
      </c>
      <c r="AI70" t="s">
        <v>702</v>
      </c>
      <c r="AJ70" s="18" t="s">
        <v>703</v>
      </c>
      <c r="AO70" s="3">
        <v>0.17566878052336177</v>
      </c>
      <c r="AP70" s="3">
        <v>37</v>
      </c>
      <c r="AQ70" s="3">
        <f t="shared" si="3"/>
        <v>6.4997448793643855</v>
      </c>
      <c r="BE70" s="3" t="s">
        <v>185</v>
      </c>
      <c r="BF70" s="3" t="s">
        <v>186</v>
      </c>
      <c r="BG70" s="3" t="s">
        <v>186</v>
      </c>
      <c r="BH70" s="3" t="s">
        <v>186</v>
      </c>
      <c r="BI70" s="3" t="s">
        <v>186</v>
      </c>
      <c r="BJ70" s="3" t="s">
        <v>186</v>
      </c>
      <c r="BK70" s="3" t="s">
        <v>186</v>
      </c>
      <c r="BL70" s="3" t="s">
        <v>186</v>
      </c>
      <c r="BM70" s="3" t="s">
        <v>186</v>
      </c>
      <c r="BN70" s="3" t="s">
        <v>186</v>
      </c>
      <c r="BO70" s="3" t="s">
        <v>186</v>
      </c>
      <c r="BP70" s="3" t="s">
        <v>186</v>
      </c>
      <c r="BQ70" s="3" t="s">
        <v>186</v>
      </c>
      <c r="BR70" s="3" t="s">
        <v>186</v>
      </c>
      <c r="BS70" s="3" t="s">
        <v>186</v>
      </c>
      <c r="BT70" s="3" t="s">
        <v>186</v>
      </c>
      <c r="BU70" s="3" t="s">
        <v>186</v>
      </c>
      <c r="BV70" s="3" t="s">
        <v>186</v>
      </c>
      <c r="BW70" s="3" t="s">
        <v>186</v>
      </c>
      <c r="BX70" s="21" t="s">
        <v>186</v>
      </c>
      <c r="BY70" s="3" t="s">
        <v>186</v>
      </c>
      <c r="BZ70" s="3" t="s">
        <v>186</v>
      </c>
      <c r="CA70" s="3" t="s">
        <v>186</v>
      </c>
      <c r="CB70" s="3" t="s">
        <v>186</v>
      </c>
      <c r="CC70" s="3" t="s">
        <v>186</v>
      </c>
      <c r="CD70" s="3" t="s">
        <v>186</v>
      </c>
      <c r="CE70" s="21" t="s">
        <v>186</v>
      </c>
      <c r="CF70" s="21" t="s">
        <v>186</v>
      </c>
      <c r="CG70" s="3" t="s">
        <v>186</v>
      </c>
      <c r="CH70" s="3" t="s">
        <v>186</v>
      </c>
      <c r="CI70" s="3" t="s">
        <v>186</v>
      </c>
      <c r="CJ70" s="3" t="s">
        <v>186</v>
      </c>
      <c r="CK70" s="3" t="s">
        <v>186</v>
      </c>
      <c r="CL70" s="3" t="s">
        <v>186</v>
      </c>
      <c r="CM70" s="32" t="str">
        <f t="shared" si="4"/>
        <v/>
      </c>
    </row>
    <row r="71" spans="1:96" x14ac:dyDescent="0.55000000000000004">
      <c r="A71" t="s">
        <v>278</v>
      </c>
      <c r="B71" t="s">
        <v>779</v>
      </c>
      <c r="C71" s="3">
        <v>1</v>
      </c>
      <c r="E71" t="s">
        <v>198</v>
      </c>
      <c r="F71">
        <v>5</v>
      </c>
      <c r="G71" t="s">
        <v>91</v>
      </c>
      <c r="H71" s="3">
        <v>6.8735066644726004</v>
      </c>
      <c r="I71" s="3" t="s">
        <v>74</v>
      </c>
      <c r="J71" s="3">
        <v>0.2</v>
      </c>
      <c r="K71" s="3">
        <v>7.25</v>
      </c>
      <c r="L71" s="3">
        <v>0.25</v>
      </c>
      <c r="O71" s="3">
        <v>100</v>
      </c>
      <c r="P71" s="3">
        <v>14.548614685554092</v>
      </c>
      <c r="R71" s="3">
        <v>10</v>
      </c>
      <c r="S71" s="4">
        <v>44945</v>
      </c>
      <c r="T71" s="3" t="s">
        <v>199</v>
      </c>
      <c r="U71" s="3" t="s">
        <v>200</v>
      </c>
      <c r="V71">
        <v>23</v>
      </c>
      <c r="W71" t="s">
        <v>91</v>
      </c>
      <c r="X71">
        <v>24</v>
      </c>
      <c r="Y71" t="s">
        <v>91</v>
      </c>
      <c r="Z71">
        <v>12</v>
      </c>
      <c r="AA71" t="s">
        <v>91</v>
      </c>
      <c r="AB71" t="s">
        <v>201</v>
      </c>
      <c r="AC71" s="3" t="s">
        <v>78</v>
      </c>
      <c r="AD71" s="3">
        <v>5</v>
      </c>
      <c r="AE71">
        <v>12</v>
      </c>
      <c r="AF71" t="s">
        <v>91</v>
      </c>
      <c r="AG71" t="s">
        <v>692</v>
      </c>
      <c r="AH71" s="17" t="s">
        <v>693</v>
      </c>
      <c r="AI71" t="s">
        <v>702</v>
      </c>
      <c r="AJ71" s="18" t="s">
        <v>703</v>
      </c>
      <c r="AO71" s="3">
        <v>0.10924994533129237</v>
      </c>
      <c r="AP71" s="3">
        <v>37</v>
      </c>
      <c r="AQ71" s="3">
        <f t="shared" si="3"/>
        <v>4.0422479772578175</v>
      </c>
      <c r="BE71" s="3" t="s">
        <v>185</v>
      </c>
      <c r="BF71" s="3" t="s">
        <v>186</v>
      </c>
      <c r="BG71" s="3" t="s">
        <v>186</v>
      </c>
      <c r="BH71" s="3" t="s">
        <v>186</v>
      </c>
      <c r="BI71" s="3" t="s">
        <v>186</v>
      </c>
      <c r="BJ71" s="3" t="s">
        <v>186</v>
      </c>
      <c r="BK71" s="3" t="s">
        <v>186</v>
      </c>
      <c r="BL71" s="3" t="s">
        <v>186</v>
      </c>
      <c r="BM71" s="3" t="s">
        <v>186</v>
      </c>
      <c r="BN71" s="3" t="s">
        <v>186</v>
      </c>
      <c r="BO71" s="3" t="s">
        <v>186</v>
      </c>
      <c r="BP71" s="3" t="s">
        <v>186</v>
      </c>
      <c r="BQ71" s="3" t="s">
        <v>186</v>
      </c>
      <c r="BR71" s="3" t="s">
        <v>186</v>
      </c>
      <c r="BS71" s="3" t="s">
        <v>186</v>
      </c>
      <c r="BT71" s="3" t="s">
        <v>186</v>
      </c>
      <c r="BU71" s="3" t="s">
        <v>186</v>
      </c>
      <c r="BV71" s="3" t="s">
        <v>186</v>
      </c>
      <c r="BW71" s="3" t="s">
        <v>186</v>
      </c>
      <c r="BX71" s="21" t="s">
        <v>186</v>
      </c>
      <c r="BY71" s="3" t="s">
        <v>186</v>
      </c>
      <c r="BZ71" s="3" t="s">
        <v>186</v>
      </c>
      <c r="CA71" s="3" t="s">
        <v>186</v>
      </c>
      <c r="CB71" s="3" t="s">
        <v>186</v>
      </c>
      <c r="CC71" s="3" t="s">
        <v>186</v>
      </c>
      <c r="CD71" s="3" t="s">
        <v>186</v>
      </c>
      <c r="CE71" s="21" t="s">
        <v>186</v>
      </c>
      <c r="CF71" s="21" t="s">
        <v>186</v>
      </c>
      <c r="CG71" s="3" t="s">
        <v>186</v>
      </c>
      <c r="CH71" s="3" t="s">
        <v>186</v>
      </c>
      <c r="CI71" s="3" t="s">
        <v>186</v>
      </c>
      <c r="CJ71" s="3" t="s">
        <v>186</v>
      </c>
      <c r="CK71" s="3" t="s">
        <v>186</v>
      </c>
      <c r="CL71" s="3" t="s">
        <v>186</v>
      </c>
      <c r="CM71" s="32" t="str">
        <f t="shared" si="4"/>
        <v/>
      </c>
    </row>
    <row r="72" spans="1:96" x14ac:dyDescent="0.55000000000000004">
      <c r="A72" t="s">
        <v>370</v>
      </c>
      <c r="B72" t="s">
        <v>371</v>
      </c>
      <c r="C72" s="3">
        <v>1</v>
      </c>
      <c r="E72" t="s">
        <v>329</v>
      </c>
      <c r="F72">
        <v>9</v>
      </c>
      <c r="G72" t="s">
        <v>84</v>
      </c>
      <c r="H72">
        <v>3.1362832172800905</v>
      </c>
      <c r="I72" s="3" t="s">
        <v>74</v>
      </c>
      <c r="J72" s="3">
        <v>0.1</v>
      </c>
      <c r="K72" s="3">
        <v>7.25</v>
      </c>
      <c r="L72" s="3">
        <v>0.33</v>
      </c>
      <c r="O72" s="3">
        <v>100</v>
      </c>
      <c r="P72" s="3">
        <v>31.884875526874126</v>
      </c>
      <c r="R72" s="3">
        <v>10</v>
      </c>
      <c r="S72" s="4">
        <v>45058</v>
      </c>
      <c r="T72" s="3" t="s">
        <v>282</v>
      </c>
      <c r="U72" s="3" t="s">
        <v>283</v>
      </c>
      <c r="V72" s="11" t="s">
        <v>76</v>
      </c>
      <c r="W72" s="11">
        <v>12</v>
      </c>
      <c r="X72" s="11" t="s">
        <v>88</v>
      </c>
      <c r="Y72" s="11">
        <v>12</v>
      </c>
      <c r="Z72">
        <v>6</v>
      </c>
      <c r="AA72" t="s">
        <v>84</v>
      </c>
      <c r="AB72" t="s">
        <v>284</v>
      </c>
      <c r="AC72" s="3" t="s">
        <v>78</v>
      </c>
      <c r="AD72" s="3">
        <v>6</v>
      </c>
      <c r="AE72">
        <v>6</v>
      </c>
      <c r="AF72" t="s">
        <v>84</v>
      </c>
      <c r="AG72" t="s">
        <v>644</v>
      </c>
      <c r="AH72" s="17" t="s">
        <v>645</v>
      </c>
      <c r="AI72" t="s">
        <v>670</v>
      </c>
      <c r="AJ72" s="18" t="s">
        <v>671</v>
      </c>
      <c r="AO72" s="10">
        <v>4.5161E-2</v>
      </c>
      <c r="AP72" s="3">
        <v>37</v>
      </c>
      <c r="AQ72" s="3">
        <f t="shared" si="3"/>
        <v>1.670957</v>
      </c>
      <c r="BE72" s="3" t="s">
        <v>185</v>
      </c>
      <c r="BF72" s="3" t="s">
        <v>186</v>
      </c>
      <c r="BG72" s="3" t="s">
        <v>186</v>
      </c>
      <c r="BH72" s="3" t="s">
        <v>186</v>
      </c>
      <c r="BI72" s="3" t="s">
        <v>186</v>
      </c>
      <c r="BJ72" s="3" t="s">
        <v>186</v>
      </c>
      <c r="BK72" s="3" t="s">
        <v>186</v>
      </c>
      <c r="BL72" s="3" t="s">
        <v>186</v>
      </c>
      <c r="BM72" s="3" t="s">
        <v>186</v>
      </c>
      <c r="BN72" s="3" t="s">
        <v>186</v>
      </c>
      <c r="BO72" s="3" t="s">
        <v>186</v>
      </c>
      <c r="BP72" s="3" t="s">
        <v>186</v>
      </c>
      <c r="BQ72" s="3" t="s">
        <v>186</v>
      </c>
      <c r="BR72" s="3" t="s">
        <v>186</v>
      </c>
      <c r="BS72" s="3" t="s">
        <v>186</v>
      </c>
      <c r="BT72" s="3" t="s">
        <v>186</v>
      </c>
      <c r="BU72" s="3" t="s">
        <v>186</v>
      </c>
      <c r="BV72" s="3" t="s">
        <v>186</v>
      </c>
      <c r="BW72" s="3" t="s">
        <v>186</v>
      </c>
      <c r="BX72" s="21" t="s">
        <v>186</v>
      </c>
      <c r="BY72" s="3" t="s">
        <v>186</v>
      </c>
      <c r="BZ72" s="3" t="s">
        <v>186</v>
      </c>
      <c r="CA72" s="3" t="s">
        <v>186</v>
      </c>
      <c r="CB72" s="3" t="s">
        <v>186</v>
      </c>
      <c r="CC72" s="3" t="s">
        <v>186</v>
      </c>
      <c r="CD72" s="3" t="s">
        <v>186</v>
      </c>
      <c r="CE72" s="21" t="s">
        <v>186</v>
      </c>
      <c r="CF72" s="21" t="s">
        <v>186</v>
      </c>
      <c r="CG72" s="3" t="s">
        <v>186</v>
      </c>
      <c r="CH72" s="3" t="s">
        <v>186</v>
      </c>
      <c r="CI72" s="3" t="s">
        <v>186</v>
      </c>
      <c r="CJ72" s="3" t="s">
        <v>186</v>
      </c>
      <c r="CK72" s="3" t="s">
        <v>186</v>
      </c>
      <c r="CL72" s="3" t="s">
        <v>186</v>
      </c>
      <c r="CM72" s="32" t="str">
        <f t="shared" si="4"/>
        <v/>
      </c>
    </row>
    <row r="73" spans="1:96" x14ac:dyDescent="0.55000000000000004">
      <c r="A73" t="s">
        <v>183</v>
      </c>
      <c r="B73" t="s">
        <v>184</v>
      </c>
      <c r="C73" s="3">
        <v>1</v>
      </c>
      <c r="E73" t="s">
        <v>72</v>
      </c>
      <c r="F73" s="5">
        <v>10</v>
      </c>
      <c r="G73" s="5" t="s">
        <v>84</v>
      </c>
      <c r="H73" s="3">
        <v>4.3944178700361007</v>
      </c>
      <c r="I73" s="3" t="s">
        <v>74</v>
      </c>
      <c r="J73" s="3">
        <v>0.1</v>
      </c>
      <c r="K73" s="3">
        <v>7.25</v>
      </c>
      <c r="L73" s="3">
        <v>0.33</v>
      </c>
      <c r="O73" s="3">
        <v>100</v>
      </c>
      <c r="P73" s="3">
        <v>22.756142669513242</v>
      </c>
      <c r="R73" s="3">
        <v>10</v>
      </c>
      <c r="S73" s="4">
        <v>44949</v>
      </c>
      <c r="T73" s="4"/>
      <c r="U73" s="3" t="s">
        <v>75</v>
      </c>
      <c r="V73" s="10" t="s">
        <v>99</v>
      </c>
      <c r="W73" s="10">
        <v>10</v>
      </c>
      <c r="X73" s="10" t="s">
        <v>100</v>
      </c>
      <c r="Y73" s="10">
        <v>10</v>
      </c>
      <c r="Z73">
        <v>10</v>
      </c>
      <c r="AA73" t="s">
        <v>88</v>
      </c>
      <c r="AB73" t="s">
        <v>77</v>
      </c>
      <c r="AC73" s="3" t="s">
        <v>78</v>
      </c>
      <c r="AD73" s="3">
        <v>4</v>
      </c>
      <c r="AE73">
        <v>10</v>
      </c>
      <c r="AF73" t="s">
        <v>88</v>
      </c>
      <c r="AG73" t="s">
        <v>664</v>
      </c>
      <c r="AH73" s="17" t="s">
        <v>665</v>
      </c>
      <c r="AI73" t="s">
        <v>678</v>
      </c>
      <c r="AJ73" s="18" t="s">
        <v>679</v>
      </c>
      <c r="AO73" s="3">
        <v>0.20605386762269973</v>
      </c>
      <c r="AP73" s="3">
        <v>37</v>
      </c>
      <c r="AQ73" s="3">
        <f t="shared" si="3"/>
        <v>7.6239931020398899</v>
      </c>
      <c r="BE73" s="3" t="s">
        <v>185</v>
      </c>
      <c r="BF73" s="3" t="s">
        <v>186</v>
      </c>
      <c r="BG73" s="3" t="s">
        <v>186</v>
      </c>
      <c r="BH73" s="3" t="s">
        <v>186</v>
      </c>
      <c r="BI73" s="3" t="s">
        <v>186</v>
      </c>
      <c r="BJ73" s="3" t="s">
        <v>186</v>
      </c>
      <c r="BK73" s="3" t="s">
        <v>186</v>
      </c>
      <c r="BL73" s="3" t="s">
        <v>186</v>
      </c>
      <c r="BM73" s="3" t="s">
        <v>186</v>
      </c>
      <c r="BN73" s="3" t="s">
        <v>186</v>
      </c>
      <c r="BO73" s="3" t="s">
        <v>186</v>
      </c>
      <c r="BP73" s="3" t="s">
        <v>186</v>
      </c>
      <c r="BQ73" s="3" t="s">
        <v>186</v>
      </c>
      <c r="BR73" s="3" t="s">
        <v>186</v>
      </c>
      <c r="BS73" s="3" t="s">
        <v>186</v>
      </c>
      <c r="BT73" s="3" t="s">
        <v>186</v>
      </c>
      <c r="BU73" s="3" t="s">
        <v>186</v>
      </c>
      <c r="BV73" s="3" t="s">
        <v>186</v>
      </c>
      <c r="BW73" s="3" t="s">
        <v>186</v>
      </c>
      <c r="BX73" s="21" t="s">
        <v>186</v>
      </c>
      <c r="BY73" s="3" t="s">
        <v>186</v>
      </c>
      <c r="BZ73" s="3" t="s">
        <v>186</v>
      </c>
      <c r="CA73" s="3" t="s">
        <v>186</v>
      </c>
      <c r="CB73" s="3" t="s">
        <v>186</v>
      </c>
      <c r="CC73" s="3" t="s">
        <v>186</v>
      </c>
      <c r="CD73" s="3" t="s">
        <v>186</v>
      </c>
      <c r="CE73" s="21" t="s">
        <v>186</v>
      </c>
      <c r="CF73" s="21" t="s">
        <v>186</v>
      </c>
      <c r="CG73" s="3" t="s">
        <v>186</v>
      </c>
      <c r="CH73" s="3" t="s">
        <v>186</v>
      </c>
      <c r="CI73" s="3" t="s">
        <v>186</v>
      </c>
      <c r="CJ73" s="3" t="s">
        <v>186</v>
      </c>
      <c r="CK73" s="3" t="s">
        <v>186</v>
      </c>
      <c r="CL73" s="3" t="s">
        <v>186</v>
      </c>
      <c r="CM73" s="32" t="str">
        <f t="shared" si="4"/>
        <v/>
      </c>
    </row>
    <row r="74" spans="1:96" x14ac:dyDescent="0.55000000000000004">
      <c r="A74" t="s">
        <v>197</v>
      </c>
      <c r="B74" t="s">
        <v>710</v>
      </c>
      <c r="C74" s="3">
        <v>2</v>
      </c>
      <c r="E74" t="s">
        <v>198</v>
      </c>
      <c r="F74">
        <v>1</v>
      </c>
      <c r="G74" t="s">
        <v>73</v>
      </c>
      <c r="H74">
        <v>2.1330919861773898</v>
      </c>
      <c r="I74" s="3" t="s">
        <v>74</v>
      </c>
      <c r="J74" s="3">
        <v>0.2</v>
      </c>
      <c r="K74" s="3">
        <v>7.25</v>
      </c>
      <c r="L74" s="3">
        <v>0.25</v>
      </c>
      <c r="O74" s="3">
        <v>95.989139377982539</v>
      </c>
      <c r="P74" s="3">
        <v>45</v>
      </c>
      <c r="R74" s="3">
        <v>10</v>
      </c>
      <c r="S74" s="4">
        <v>45141</v>
      </c>
      <c r="T74" s="3" t="s">
        <v>282</v>
      </c>
      <c r="U74" s="3" t="s">
        <v>412</v>
      </c>
      <c r="V74" s="11" t="s">
        <v>96</v>
      </c>
      <c r="W74" s="11">
        <v>1</v>
      </c>
      <c r="X74" s="11" t="s">
        <v>103</v>
      </c>
      <c r="Y74" s="11">
        <v>1</v>
      </c>
      <c r="Z74">
        <v>1</v>
      </c>
      <c r="AA74" t="s">
        <v>73</v>
      </c>
      <c r="AB74" t="s">
        <v>413</v>
      </c>
      <c r="AC74" s="3" t="s">
        <v>78</v>
      </c>
      <c r="AD74" s="3">
        <v>2</v>
      </c>
      <c r="AE74">
        <v>1</v>
      </c>
      <c r="AF74" t="s">
        <v>73</v>
      </c>
      <c r="AG74" t="s">
        <v>614</v>
      </c>
      <c r="AH74" s="17" t="s">
        <v>615</v>
      </c>
      <c r="AI74" t="s">
        <v>616</v>
      </c>
      <c r="AJ74" s="18" t="s">
        <v>617</v>
      </c>
      <c r="AO74" s="10">
        <v>0.32337100000000002</v>
      </c>
      <c r="AP74" s="3">
        <v>37</v>
      </c>
      <c r="AQ74" s="3">
        <f t="shared" si="3"/>
        <v>11.964727</v>
      </c>
      <c r="BE74" s="3" t="s">
        <v>79</v>
      </c>
      <c r="BF74" s="3" t="s">
        <v>415</v>
      </c>
      <c r="BG74" s="3" t="s">
        <v>186</v>
      </c>
      <c r="BH74" s="3" t="s">
        <v>186</v>
      </c>
      <c r="BI74" s="3" t="s">
        <v>186</v>
      </c>
      <c r="BJ74" s="3" t="s">
        <v>186</v>
      </c>
      <c r="BK74" s="3" t="s">
        <v>186</v>
      </c>
      <c r="BL74" s="3" t="s">
        <v>186</v>
      </c>
      <c r="BM74" s="3" t="s">
        <v>186</v>
      </c>
      <c r="BN74" s="3" t="s">
        <v>186</v>
      </c>
      <c r="BO74" s="3" t="s">
        <v>186</v>
      </c>
      <c r="BP74" s="3" t="s">
        <v>186</v>
      </c>
      <c r="BQ74" s="3" t="s">
        <v>186</v>
      </c>
      <c r="BR74" s="3" t="s">
        <v>186</v>
      </c>
      <c r="BS74" s="3" t="s">
        <v>186</v>
      </c>
      <c r="BT74" s="3" t="s">
        <v>186</v>
      </c>
      <c r="BU74" s="3" t="s">
        <v>186</v>
      </c>
      <c r="BV74" s="3" t="s">
        <v>186</v>
      </c>
      <c r="BW74" s="3" t="s">
        <v>186</v>
      </c>
      <c r="BX74" s="21" t="s">
        <v>417</v>
      </c>
      <c r="BY74" s="3" t="str">
        <f t="shared" ref="BY74:BY137" si="5">IF(ISNUMBER(BM74),BP74,AB74)</f>
        <v>Och-A_RedoLibraries</v>
      </c>
      <c r="BZ74" s="3" t="str">
        <f t="shared" ref="BZ74:BZ137" si="6">IF(ISNUMBER(BM74),BR74&amp;BQ74,AA74&amp;AE74)</f>
        <v>A1</v>
      </c>
      <c r="CA74" s="3" t="str">
        <f t="shared" ref="CA74:CA137" si="7">BF74</f>
        <v>Och-A</v>
      </c>
      <c r="CC74" s="3">
        <v>1.5</v>
      </c>
      <c r="CD74" t="s">
        <v>460</v>
      </c>
      <c r="CE74" s="21" t="str">
        <f t="shared" ref="CE74:CE121" si="8">CD74&amp;TEXT(Z74,"00")&amp;AA74</f>
        <v>OcA0100101A</v>
      </c>
      <c r="CF74" s="21" t="str">
        <f t="shared" ref="CF74:CF137" si="9">B74&amp;"-"&amp;Z74&amp;AA74&amp;"-lcwgs-"&amp;C74&amp;"-1"</f>
        <v>Och-ACat_001-Ex1-1A-lcwgs-2-1</v>
      </c>
      <c r="CG74" s="3">
        <f t="shared" ref="CG74:CG105" si="10">IF(ISNUMBER(BL74),(CC74/BN74)*BL74,CC74)</f>
        <v>1.5</v>
      </c>
      <c r="CH74">
        <v>2801520</v>
      </c>
      <c r="CI74">
        <v>1554776</v>
      </c>
      <c r="CJ74" s="27" t="s">
        <v>79</v>
      </c>
      <c r="CK74" s="3">
        <v>0.48918715982521327</v>
      </c>
      <c r="CL74" t="s">
        <v>1198</v>
      </c>
      <c r="CM74" s="33" t="s">
        <v>1614</v>
      </c>
      <c r="CN74" s="3" t="str">
        <f t="shared" ref="CN74:CN85" si="11">B74&amp;"-"&amp;Z74&amp;AA74&amp;"-lcwgs-"&amp;C74&amp;"-2"</f>
        <v>Och-ACat_001-Ex1-1A-lcwgs-2-2</v>
      </c>
      <c r="CR74"/>
    </row>
    <row r="75" spans="1:96" x14ac:dyDescent="0.55000000000000004">
      <c r="A75" t="s">
        <v>242</v>
      </c>
      <c r="B75" t="s">
        <v>746</v>
      </c>
      <c r="C75" s="3">
        <v>2</v>
      </c>
      <c r="E75" t="s">
        <v>198</v>
      </c>
      <c r="F75">
        <v>6</v>
      </c>
      <c r="G75" t="s">
        <v>84</v>
      </c>
      <c r="H75">
        <v>13.592817179529373</v>
      </c>
      <c r="I75" s="3" t="s">
        <v>74</v>
      </c>
      <c r="J75" s="3">
        <v>0.2</v>
      </c>
      <c r="K75" s="3">
        <v>7.25</v>
      </c>
      <c r="L75" s="3">
        <v>0.25</v>
      </c>
      <c r="O75" s="3">
        <v>200</v>
      </c>
      <c r="P75" s="3">
        <v>14.713653347828272</v>
      </c>
      <c r="R75" s="3">
        <v>10</v>
      </c>
      <c r="S75" s="4">
        <v>45141</v>
      </c>
      <c r="T75" s="3" t="s">
        <v>282</v>
      </c>
      <c r="U75" s="3" t="s">
        <v>412</v>
      </c>
      <c r="V75" s="11" t="s">
        <v>99</v>
      </c>
      <c r="W75" s="11">
        <v>12</v>
      </c>
      <c r="X75" s="11" t="s">
        <v>104</v>
      </c>
      <c r="Y75" s="11">
        <v>12</v>
      </c>
      <c r="Z75">
        <v>6</v>
      </c>
      <c r="AA75" t="s">
        <v>84</v>
      </c>
      <c r="AB75" t="s">
        <v>413</v>
      </c>
      <c r="AC75" s="3" t="s">
        <v>78</v>
      </c>
      <c r="AD75" s="3">
        <v>2</v>
      </c>
      <c r="AE75">
        <v>6</v>
      </c>
      <c r="AF75" t="s">
        <v>84</v>
      </c>
      <c r="AG75" t="s">
        <v>644</v>
      </c>
      <c r="AH75" s="17" t="s">
        <v>645</v>
      </c>
      <c r="AI75" t="s">
        <v>626</v>
      </c>
      <c r="AJ75" s="18" t="s">
        <v>627</v>
      </c>
      <c r="AO75" s="10">
        <v>0.341669</v>
      </c>
      <c r="AP75" s="3">
        <v>37</v>
      </c>
      <c r="AQ75" s="3">
        <f t="shared" si="3"/>
        <v>12.641753</v>
      </c>
      <c r="BE75" s="3" t="s">
        <v>79</v>
      </c>
      <c r="BF75" s="3" t="s">
        <v>415</v>
      </c>
      <c r="BG75" s="3" t="s">
        <v>186</v>
      </c>
      <c r="BH75" s="3" t="s">
        <v>186</v>
      </c>
      <c r="BI75" s="3" t="s">
        <v>186</v>
      </c>
      <c r="BJ75" s="3" t="s">
        <v>186</v>
      </c>
      <c r="BK75" s="3" t="s">
        <v>186</v>
      </c>
      <c r="BL75" s="3" t="s">
        <v>186</v>
      </c>
      <c r="BM75" s="3" t="s">
        <v>186</v>
      </c>
      <c r="BN75" s="3" t="s">
        <v>186</v>
      </c>
      <c r="BO75" s="3" t="s">
        <v>186</v>
      </c>
      <c r="BP75" s="3" t="s">
        <v>186</v>
      </c>
      <c r="BQ75" s="3" t="s">
        <v>186</v>
      </c>
      <c r="BR75" s="3" t="s">
        <v>186</v>
      </c>
      <c r="BS75" s="3" t="s">
        <v>186</v>
      </c>
      <c r="BT75" s="3" t="s">
        <v>186</v>
      </c>
      <c r="BU75" s="3" t="s">
        <v>186</v>
      </c>
      <c r="BV75" s="3" t="s">
        <v>186</v>
      </c>
      <c r="BW75" s="3" t="s">
        <v>186</v>
      </c>
      <c r="BX75" s="21" t="s">
        <v>417</v>
      </c>
      <c r="BY75" s="3" t="str">
        <f t="shared" si="5"/>
        <v>Och-A_RedoLibraries</v>
      </c>
      <c r="BZ75" s="3" t="str">
        <f t="shared" si="6"/>
        <v>D6</v>
      </c>
      <c r="CA75" s="3" t="str">
        <f t="shared" si="7"/>
        <v>Och-A</v>
      </c>
      <c r="CC75" s="3">
        <v>1.5</v>
      </c>
      <c r="CD75" t="s">
        <v>460</v>
      </c>
      <c r="CE75" s="21" t="str">
        <f t="shared" si="8"/>
        <v>OcA0100106D</v>
      </c>
      <c r="CF75" s="21" t="str">
        <f t="shared" si="9"/>
        <v>Och-ATum_001-Ex1-6D-lcwgs-2-1</v>
      </c>
      <c r="CG75" s="3">
        <f t="shared" si="10"/>
        <v>1.5</v>
      </c>
      <c r="CH75">
        <v>97794</v>
      </c>
      <c r="CI75">
        <v>74813</v>
      </c>
      <c r="CJ75" t="s">
        <v>79</v>
      </c>
      <c r="CK75" s="3">
        <v>13.52294096207264</v>
      </c>
      <c r="CL75" t="s">
        <v>1200</v>
      </c>
      <c r="CM75" s="33" t="s">
        <v>1615</v>
      </c>
      <c r="CN75" s="3" t="str">
        <f t="shared" si="11"/>
        <v>Och-ATum_001-Ex1-6D-lcwgs-2-2</v>
      </c>
      <c r="CR75"/>
    </row>
    <row r="76" spans="1:96" x14ac:dyDescent="0.55000000000000004">
      <c r="A76" t="s">
        <v>202</v>
      </c>
      <c r="B76" t="s">
        <v>711</v>
      </c>
      <c r="C76" s="3">
        <v>2</v>
      </c>
      <c r="E76" t="s">
        <v>198</v>
      </c>
      <c r="F76">
        <v>2</v>
      </c>
      <c r="G76" t="s">
        <v>73</v>
      </c>
      <c r="H76">
        <v>8.2335198288629243</v>
      </c>
      <c r="I76" s="3" t="s">
        <v>74</v>
      </c>
      <c r="J76" s="3">
        <v>0.2</v>
      </c>
      <c r="K76" s="3">
        <v>7.25</v>
      </c>
      <c r="L76" s="3">
        <v>0.25</v>
      </c>
      <c r="O76" s="3">
        <v>200</v>
      </c>
      <c r="P76" s="3">
        <v>24.290947754676221</v>
      </c>
      <c r="R76" s="3">
        <v>10</v>
      </c>
      <c r="S76" s="4">
        <v>45141</v>
      </c>
      <c r="T76" s="3" t="s">
        <v>282</v>
      </c>
      <c r="U76" s="3" t="s">
        <v>412</v>
      </c>
      <c r="V76" s="11" t="s">
        <v>96</v>
      </c>
      <c r="W76" s="11">
        <v>3</v>
      </c>
      <c r="X76" s="11" t="s">
        <v>103</v>
      </c>
      <c r="Y76" s="11">
        <v>3</v>
      </c>
      <c r="Z76">
        <v>2</v>
      </c>
      <c r="AA76" t="s">
        <v>73</v>
      </c>
      <c r="AB76" t="s">
        <v>413</v>
      </c>
      <c r="AC76" s="3" t="s">
        <v>78</v>
      </c>
      <c r="AD76" s="3">
        <v>2</v>
      </c>
      <c r="AE76">
        <v>2</v>
      </c>
      <c r="AF76" t="s">
        <v>73</v>
      </c>
      <c r="AG76" t="s">
        <v>614</v>
      </c>
      <c r="AH76" s="17" t="s">
        <v>615</v>
      </c>
      <c r="AI76" t="s">
        <v>618</v>
      </c>
      <c r="AJ76" s="18" t="s">
        <v>619</v>
      </c>
      <c r="AO76" s="10">
        <v>0.25783200000000001</v>
      </c>
      <c r="AP76" s="3">
        <v>37</v>
      </c>
      <c r="AQ76" s="3">
        <f t="shared" si="3"/>
        <v>9.5397840000000009</v>
      </c>
      <c r="BE76" s="3" t="s">
        <v>79</v>
      </c>
      <c r="BF76" s="3" t="s">
        <v>415</v>
      </c>
      <c r="BG76" s="3" t="s">
        <v>186</v>
      </c>
      <c r="BH76" s="3" t="s">
        <v>186</v>
      </c>
      <c r="BI76" s="3" t="s">
        <v>186</v>
      </c>
      <c r="BJ76" s="3" t="s">
        <v>186</v>
      </c>
      <c r="BK76" s="3" t="s">
        <v>186</v>
      </c>
      <c r="BL76" s="3" t="s">
        <v>186</v>
      </c>
      <c r="BM76" s="3" t="s">
        <v>186</v>
      </c>
      <c r="BN76" s="3" t="s">
        <v>186</v>
      </c>
      <c r="BO76" s="3" t="s">
        <v>186</v>
      </c>
      <c r="BP76" s="3" t="s">
        <v>186</v>
      </c>
      <c r="BQ76" s="3" t="s">
        <v>186</v>
      </c>
      <c r="BR76" s="3" t="s">
        <v>186</v>
      </c>
      <c r="BS76" s="3" t="s">
        <v>186</v>
      </c>
      <c r="BT76" s="3" t="s">
        <v>186</v>
      </c>
      <c r="BU76" s="3" t="s">
        <v>186</v>
      </c>
      <c r="BV76" s="3" t="s">
        <v>186</v>
      </c>
      <c r="BW76" s="3" t="s">
        <v>186</v>
      </c>
      <c r="BX76" s="21" t="s">
        <v>417</v>
      </c>
      <c r="BY76" s="3" t="str">
        <f t="shared" si="5"/>
        <v>Och-A_RedoLibraries</v>
      </c>
      <c r="BZ76" s="3" t="str">
        <f t="shared" si="6"/>
        <v>A2</v>
      </c>
      <c r="CA76" s="3" t="str">
        <f t="shared" si="7"/>
        <v>Och-A</v>
      </c>
      <c r="CC76" s="3">
        <v>1.5</v>
      </c>
      <c r="CD76" t="s">
        <v>467</v>
      </c>
      <c r="CE76" s="21" t="str">
        <f t="shared" si="8"/>
        <v>OcA0100202A</v>
      </c>
      <c r="CF76" s="21" t="str">
        <f t="shared" si="9"/>
        <v>Och-ACat_002-Ex1-2A-lcwgs-2-1</v>
      </c>
      <c r="CG76" s="3">
        <f t="shared" si="10"/>
        <v>1.5</v>
      </c>
      <c r="CH76">
        <v>290189</v>
      </c>
      <c r="CI76">
        <v>226297</v>
      </c>
      <c r="CJ76" s="27" t="s">
        <v>79</v>
      </c>
      <c r="CK76" s="3">
        <v>3.4479875103341979</v>
      </c>
      <c r="CL76" t="s">
        <v>1198</v>
      </c>
      <c r="CM76" s="33" t="s">
        <v>1616</v>
      </c>
      <c r="CN76" s="3" t="str">
        <f t="shared" si="11"/>
        <v>Och-ACat_002-Ex1-2A-lcwgs-2-2</v>
      </c>
      <c r="CR76"/>
    </row>
    <row r="77" spans="1:96" x14ac:dyDescent="0.55000000000000004">
      <c r="A77" t="s">
        <v>243</v>
      </c>
      <c r="B77" t="s">
        <v>747</v>
      </c>
      <c r="C77" s="3">
        <v>2</v>
      </c>
      <c r="E77" t="s">
        <v>198</v>
      </c>
      <c r="F77">
        <v>7</v>
      </c>
      <c r="G77" t="s">
        <v>84</v>
      </c>
      <c r="H77">
        <v>18.946807635346389</v>
      </c>
      <c r="I77" s="3" t="s">
        <v>74</v>
      </c>
      <c r="J77" s="3">
        <v>0.2</v>
      </c>
      <c r="K77" s="3">
        <v>7.25</v>
      </c>
      <c r="L77" s="3">
        <v>0.25</v>
      </c>
      <c r="O77" s="3">
        <v>200</v>
      </c>
      <c r="P77" s="3">
        <v>10.555867977826944</v>
      </c>
      <c r="R77" s="3">
        <v>10</v>
      </c>
      <c r="S77" s="4">
        <v>45141</v>
      </c>
      <c r="T77" s="3" t="s">
        <v>282</v>
      </c>
      <c r="U77" s="3" t="s">
        <v>412</v>
      </c>
      <c r="V77" s="11" t="s">
        <v>99</v>
      </c>
      <c r="W77" s="11">
        <v>14</v>
      </c>
      <c r="X77" s="11" t="s">
        <v>104</v>
      </c>
      <c r="Y77" s="11">
        <v>14</v>
      </c>
      <c r="Z77">
        <v>7</v>
      </c>
      <c r="AA77" t="s">
        <v>84</v>
      </c>
      <c r="AB77" t="s">
        <v>413</v>
      </c>
      <c r="AC77" s="3" t="s">
        <v>78</v>
      </c>
      <c r="AD77" s="3">
        <v>2</v>
      </c>
      <c r="AE77">
        <v>7</v>
      </c>
      <c r="AF77" t="s">
        <v>84</v>
      </c>
      <c r="AG77" t="s">
        <v>644</v>
      </c>
      <c r="AH77" s="17" t="s">
        <v>645</v>
      </c>
      <c r="AI77" t="s">
        <v>628</v>
      </c>
      <c r="AJ77" s="18" t="s">
        <v>629</v>
      </c>
      <c r="AO77" s="10">
        <v>0.24986800000000001</v>
      </c>
      <c r="AP77" s="3">
        <v>37</v>
      </c>
      <c r="AQ77" s="3">
        <f t="shared" si="3"/>
        <v>9.2451159999999994</v>
      </c>
      <c r="BE77" s="3" t="s">
        <v>79</v>
      </c>
      <c r="BF77" s="3" t="s">
        <v>415</v>
      </c>
      <c r="BG77" s="3" t="s">
        <v>186</v>
      </c>
      <c r="BH77" s="3" t="s">
        <v>186</v>
      </c>
      <c r="BI77" s="3" t="s">
        <v>186</v>
      </c>
      <c r="BJ77" s="3" t="s">
        <v>186</v>
      </c>
      <c r="BK77" s="3" t="s">
        <v>186</v>
      </c>
      <c r="BL77" s="3" t="s">
        <v>186</v>
      </c>
      <c r="BM77" s="3" t="s">
        <v>186</v>
      </c>
      <c r="BN77" s="3" t="s">
        <v>186</v>
      </c>
      <c r="BO77" s="3" t="s">
        <v>186</v>
      </c>
      <c r="BP77" s="3" t="s">
        <v>186</v>
      </c>
      <c r="BQ77" s="3" t="s">
        <v>186</v>
      </c>
      <c r="BR77" s="3" t="s">
        <v>186</v>
      </c>
      <c r="BS77" s="3" t="s">
        <v>186</v>
      </c>
      <c r="BT77" s="3" t="s">
        <v>186</v>
      </c>
      <c r="BU77" s="3" t="s">
        <v>186</v>
      </c>
      <c r="BV77" s="3" t="s">
        <v>186</v>
      </c>
      <c r="BW77" s="3" t="s">
        <v>186</v>
      </c>
      <c r="BX77" s="21" t="s">
        <v>417</v>
      </c>
      <c r="BY77" s="3" t="str">
        <f t="shared" si="5"/>
        <v>Och-A_RedoLibraries</v>
      </c>
      <c r="BZ77" s="3" t="str">
        <f t="shared" si="6"/>
        <v>D7</v>
      </c>
      <c r="CA77" s="3" t="str">
        <f t="shared" si="7"/>
        <v>Och-A</v>
      </c>
      <c r="CC77" s="3">
        <v>1.5</v>
      </c>
      <c r="CD77" t="s">
        <v>467</v>
      </c>
      <c r="CE77" s="21" t="str">
        <f t="shared" si="8"/>
        <v>OcA0100207D</v>
      </c>
      <c r="CF77" s="21" t="str">
        <f t="shared" si="9"/>
        <v>Och-ATum_002-Ex1-7D-lcwgs-2-1</v>
      </c>
      <c r="CG77" s="3">
        <f t="shared" si="10"/>
        <v>1.5</v>
      </c>
      <c r="CH77">
        <v>53975</v>
      </c>
      <c r="CI77">
        <v>46227</v>
      </c>
      <c r="CJ77" t="s">
        <v>79</v>
      </c>
      <c r="CK77" s="3">
        <v>21.898668163035808</v>
      </c>
      <c r="CL77" t="s">
        <v>1200</v>
      </c>
      <c r="CM77" s="33" t="s">
        <v>1617</v>
      </c>
      <c r="CN77" s="3" t="str">
        <f t="shared" si="11"/>
        <v>Och-ATum_002-Ex1-7D-lcwgs-2-2</v>
      </c>
      <c r="CR77"/>
    </row>
    <row r="78" spans="1:96" x14ac:dyDescent="0.55000000000000004">
      <c r="A78" t="s">
        <v>203</v>
      </c>
      <c r="B78" t="s">
        <v>712</v>
      </c>
      <c r="C78" s="3">
        <v>2</v>
      </c>
      <c r="E78" t="s">
        <v>198</v>
      </c>
      <c r="F78">
        <v>3</v>
      </c>
      <c r="G78" t="s">
        <v>73</v>
      </c>
      <c r="H78">
        <v>5.433231857824584</v>
      </c>
      <c r="I78" s="3" t="s">
        <v>74</v>
      </c>
      <c r="J78" s="3">
        <v>0.2</v>
      </c>
      <c r="K78" s="3">
        <v>7.25</v>
      </c>
      <c r="L78" s="3">
        <v>0.25</v>
      </c>
      <c r="O78" s="3">
        <v>200</v>
      </c>
      <c r="P78" s="3">
        <v>36.810503441330802</v>
      </c>
      <c r="R78" s="3">
        <v>10</v>
      </c>
      <c r="S78" s="4">
        <v>45141</v>
      </c>
      <c r="T78" s="3" t="s">
        <v>282</v>
      </c>
      <c r="U78" s="3" t="s">
        <v>412</v>
      </c>
      <c r="V78" s="11" t="s">
        <v>96</v>
      </c>
      <c r="W78" s="11">
        <v>5</v>
      </c>
      <c r="X78" s="11" t="s">
        <v>103</v>
      </c>
      <c r="Y78" s="11">
        <v>5</v>
      </c>
      <c r="Z78">
        <v>3</v>
      </c>
      <c r="AA78" t="s">
        <v>73</v>
      </c>
      <c r="AB78" t="s">
        <v>413</v>
      </c>
      <c r="AC78" s="3" t="s">
        <v>78</v>
      </c>
      <c r="AD78" s="3">
        <v>2</v>
      </c>
      <c r="AE78">
        <v>3</v>
      </c>
      <c r="AF78" t="s">
        <v>73</v>
      </c>
      <c r="AG78" t="s">
        <v>614</v>
      </c>
      <c r="AH78" s="17" t="s">
        <v>615</v>
      </c>
      <c r="AI78" t="s">
        <v>620</v>
      </c>
      <c r="AJ78" s="18" t="s">
        <v>621</v>
      </c>
      <c r="AO78" s="10">
        <v>0.48864299999999999</v>
      </c>
      <c r="AP78" s="3">
        <v>37</v>
      </c>
      <c r="AQ78" s="3">
        <f t="shared" si="3"/>
        <v>18.079791</v>
      </c>
      <c r="BE78" s="3" t="s">
        <v>79</v>
      </c>
      <c r="BF78" s="3" t="s">
        <v>415</v>
      </c>
      <c r="BG78" s="3" t="s">
        <v>186</v>
      </c>
      <c r="BH78" s="3" t="s">
        <v>186</v>
      </c>
      <c r="BI78" s="3" t="s">
        <v>186</v>
      </c>
      <c r="BJ78" s="3" t="s">
        <v>186</v>
      </c>
      <c r="BK78" s="3" t="s">
        <v>186</v>
      </c>
      <c r="BL78" s="3" t="s">
        <v>186</v>
      </c>
      <c r="BM78" s="3" t="s">
        <v>186</v>
      </c>
      <c r="BN78" s="3" t="s">
        <v>186</v>
      </c>
      <c r="BO78" s="3" t="s">
        <v>186</v>
      </c>
      <c r="BP78" s="3" t="s">
        <v>186</v>
      </c>
      <c r="BQ78" s="3" t="s">
        <v>186</v>
      </c>
      <c r="BR78" s="3" t="s">
        <v>186</v>
      </c>
      <c r="BS78" s="3" t="s">
        <v>186</v>
      </c>
      <c r="BT78" s="3" t="s">
        <v>186</v>
      </c>
      <c r="BU78" s="3" t="s">
        <v>186</v>
      </c>
      <c r="BV78" s="3" t="s">
        <v>186</v>
      </c>
      <c r="BW78" s="3" t="s">
        <v>186</v>
      </c>
      <c r="BX78" s="21" t="s">
        <v>417</v>
      </c>
      <c r="BY78" s="3" t="str">
        <f t="shared" si="5"/>
        <v>Och-A_RedoLibraries</v>
      </c>
      <c r="BZ78" s="3" t="str">
        <f t="shared" si="6"/>
        <v>A3</v>
      </c>
      <c r="CA78" s="3" t="str">
        <f t="shared" si="7"/>
        <v>Och-A</v>
      </c>
      <c r="CC78" s="3">
        <v>1.5</v>
      </c>
      <c r="CD78" t="s">
        <v>474</v>
      </c>
      <c r="CE78" s="21" t="str">
        <f t="shared" si="8"/>
        <v>OcA0100303A</v>
      </c>
      <c r="CF78" s="21" t="str">
        <f t="shared" si="9"/>
        <v>Och-ACat_003-Ex1-3A-lcwgs-2-1</v>
      </c>
      <c r="CG78" s="3">
        <f t="shared" si="10"/>
        <v>1.5</v>
      </c>
      <c r="CH78">
        <v>1589109</v>
      </c>
      <c r="CI78">
        <v>1208938</v>
      </c>
      <c r="CJ78" s="27" t="s">
        <v>79</v>
      </c>
      <c r="CK78" s="3">
        <v>0.63336829702246822</v>
      </c>
      <c r="CL78" t="s">
        <v>1198</v>
      </c>
      <c r="CM78" s="33" t="s">
        <v>1618</v>
      </c>
      <c r="CN78" s="3" t="str">
        <f t="shared" si="11"/>
        <v>Och-ACat_003-Ex1-3A-lcwgs-2-2</v>
      </c>
      <c r="CR78"/>
    </row>
    <row r="79" spans="1:96" x14ac:dyDescent="0.55000000000000004">
      <c r="A79" t="s">
        <v>244</v>
      </c>
      <c r="B79" t="s">
        <v>748</v>
      </c>
      <c r="C79" s="3">
        <v>2</v>
      </c>
      <c r="E79" t="s">
        <v>198</v>
      </c>
      <c r="F79">
        <v>8</v>
      </c>
      <c r="G79" t="s">
        <v>84</v>
      </c>
      <c r="H79">
        <v>30.829652789205198</v>
      </c>
      <c r="I79" s="3" t="s">
        <v>74</v>
      </c>
      <c r="J79" s="3">
        <v>0.2</v>
      </c>
      <c r="K79" s="3">
        <v>7.25</v>
      </c>
      <c r="L79" s="3">
        <v>0.25</v>
      </c>
      <c r="O79" s="3">
        <v>200</v>
      </c>
      <c r="P79" s="3">
        <v>6.4872608643204925</v>
      </c>
      <c r="R79" s="3">
        <v>10</v>
      </c>
      <c r="S79" s="4">
        <v>45141</v>
      </c>
      <c r="T79" s="3" t="s">
        <v>282</v>
      </c>
      <c r="U79" s="3" t="s">
        <v>412</v>
      </c>
      <c r="V79" s="11" t="s">
        <v>99</v>
      </c>
      <c r="W79" s="11">
        <v>16</v>
      </c>
      <c r="X79" s="11" t="s">
        <v>104</v>
      </c>
      <c r="Y79" s="11">
        <v>16</v>
      </c>
      <c r="Z79">
        <v>8</v>
      </c>
      <c r="AA79" t="s">
        <v>84</v>
      </c>
      <c r="AB79" t="s">
        <v>413</v>
      </c>
      <c r="AC79" s="3" t="s">
        <v>78</v>
      </c>
      <c r="AD79" s="3">
        <v>2</v>
      </c>
      <c r="AE79">
        <v>8</v>
      </c>
      <c r="AF79" t="s">
        <v>84</v>
      </c>
      <c r="AG79" t="s">
        <v>644</v>
      </c>
      <c r="AH79" s="17" t="s">
        <v>645</v>
      </c>
      <c r="AI79" t="s">
        <v>630</v>
      </c>
      <c r="AJ79" s="18" t="s">
        <v>631</v>
      </c>
      <c r="AO79" s="10">
        <v>0.66062699999999996</v>
      </c>
      <c r="AP79" s="3">
        <v>37</v>
      </c>
      <c r="AQ79" s="3">
        <f t="shared" si="3"/>
        <v>24.443199</v>
      </c>
      <c r="BE79" s="3" t="s">
        <v>79</v>
      </c>
      <c r="BF79" s="3" t="s">
        <v>415</v>
      </c>
      <c r="BG79" s="3" t="s">
        <v>416</v>
      </c>
      <c r="BH79" s="3">
        <v>1</v>
      </c>
      <c r="BI79" s="3" t="str">
        <f>AA79&amp;Z79</f>
        <v>D8</v>
      </c>
      <c r="BJ79" s="3">
        <v>1</v>
      </c>
      <c r="BK79" s="3" t="str">
        <f>BR79&amp;BQ79</f>
        <v>B3</v>
      </c>
      <c r="BL79" s="10">
        <v>1.5</v>
      </c>
      <c r="BM79" s="3">
        <v>0.4</v>
      </c>
      <c r="BN79" s="3">
        <f>AO79*BL79/BM79</f>
        <v>2.4773512499999999</v>
      </c>
      <c r="BO79" s="3">
        <f>BN79-BL79</f>
        <v>0.97735124999999989</v>
      </c>
      <c r="BP79" s="3" t="s">
        <v>420</v>
      </c>
      <c r="BQ79">
        <v>3</v>
      </c>
      <c r="BR79" t="s">
        <v>76</v>
      </c>
      <c r="BS79" s="3">
        <v>1</v>
      </c>
      <c r="BT79" s="3" t="s">
        <v>418</v>
      </c>
      <c r="BU79" s="3">
        <v>1</v>
      </c>
      <c r="BV79" s="3" t="str">
        <f>BR79&amp;BQ79</f>
        <v>B3</v>
      </c>
      <c r="BW79" s="3">
        <f>BO79</f>
        <v>0.97735124999999989</v>
      </c>
      <c r="BX79" s="21" t="s">
        <v>417</v>
      </c>
      <c r="BY79" s="3" t="str">
        <f t="shared" si="5"/>
        <v>Och-Mixed_Dilution Plate</v>
      </c>
      <c r="BZ79" s="3" t="str">
        <f t="shared" si="6"/>
        <v>B3</v>
      </c>
      <c r="CA79" s="3" t="str">
        <f t="shared" si="7"/>
        <v>Och-A</v>
      </c>
      <c r="CC79" s="3">
        <v>1.5</v>
      </c>
      <c r="CD79" t="s">
        <v>474</v>
      </c>
      <c r="CE79" s="21" t="str">
        <f t="shared" si="8"/>
        <v>OcA0100308D</v>
      </c>
      <c r="CF79" s="21" t="str">
        <f t="shared" si="9"/>
        <v>Och-ATum_003-Ex1-8D-lcwgs-2-1</v>
      </c>
      <c r="CG79" s="3">
        <f t="shared" si="10"/>
        <v>0.90822809240312607</v>
      </c>
      <c r="CH79">
        <v>48679</v>
      </c>
      <c r="CI79">
        <v>41416</v>
      </c>
      <c r="CJ79" t="s">
        <v>79</v>
      </c>
      <c r="CK79" s="3">
        <v>14.801084833217686</v>
      </c>
      <c r="CL79" t="s">
        <v>1200</v>
      </c>
      <c r="CM79" s="33" t="s">
        <v>1619</v>
      </c>
      <c r="CN79" s="3" t="str">
        <f t="shared" si="11"/>
        <v>Och-ATum_003-Ex1-8D-lcwgs-2-2</v>
      </c>
      <c r="CR79"/>
    </row>
    <row r="80" spans="1:96" x14ac:dyDescent="0.55000000000000004">
      <c r="A80" t="s">
        <v>204</v>
      </c>
      <c r="B80" t="s">
        <v>713</v>
      </c>
      <c r="C80" s="3">
        <v>2</v>
      </c>
      <c r="E80" t="s">
        <v>198</v>
      </c>
      <c r="F80">
        <v>4</v>
      </c>
      <c r="G80" t="s">
        <v>73</v>
      </c>
      <c r="H80">
        <v>7.4243746914596009</v>
      </c>
      <c r="I80" s="3" t="s">
        <v>74</v>
      </c>
      <c r="J80" s="3">
        <v>0.2</v>
      </c>
      <c r="K80" s="3">
        <v>7.25</v>
      </c>
      <c r="L80" s="3">
        <v>0.25</v>
      </c>
      <c r="O80" s="3">
        <v>200</v>
      </c>
      <c r="P80" s="3">
        <v>26.938295588726657</v>
      </c>
      <c r="R80" s="3">
        <v>10</v>
      </c>
      <c r="S80" s="4">
        <v>45141</v>
      </c>
      <c r="T80" s="3" t="s">
        <v>282</v>
      </c>
      <c r="U80" s="3" t="s">
        <v>412</v>
      </c>
      <c r="V80" s="11" t="s">
        <v>96</v>
      </c>
      <c r="W80" s="11">
        <v>7</v>
      </c>
      <c r="X80" s="11" t="s">
        <v>103</v>
      </c>
      <c r="Y80" s="11">
        <v>7</v>
      </c>
      <c r="Z80">
        <v>4</v>
      </c>
      <c r="AA80" t="s">
        <v>73</v>
      </c>
      <c r="AB80" t="s">
        <v>413</v>
      </c>
      <c r="AC80" s="3" t="s">
        <v>78</v>
      </c>
      <c r="AD80" s="3">
        <v>2</v>
      </c>
      <c r="AE80">
        <v>4</v>
      </c>
      <c r="AF80" t="s">
        <v>73</v>
      </c>
      <c r="AG80" t="s">
        <v>614</v>
      </c>
      <c r="AH80" s="17" t="s">
        <v>615</v>
      </c>
      <c r="AI80" t="s">
        <v>622</v>
      </c>
      <c r="AJ80" s="18" t="s">
        <v>623</v>
      </c>
      <c r="AO80" s="10">
        <v>0.222667</v>
      </c>
      <c r="AP80" s="3">
        <v>37</v>
      </c>
      <c r="AQ80" s="3">
        <f t="shared" si="3"/>
        <v>8.2386789999999994</v>
      </c>
      <c r="BE80" s="3" t="s">
        <v>79</v>
      </c>
      <c r="BF80" s="3" t="s">
        <v>415</v>
      </c>
      <c r="BG80" s="3" t="s">
        <v>186</v>
      </c>
      <c r="BH80" s="3" t="s">
        <v>186</v>
      </c>
      <c r="BI80" s="3" t="s">
        <v>186</v>
      </c>
      <c r="BJ80" s="3" t="s">
        <v>186</v>
      </c>
      <c r="BK80" s="3" t="s">
        <v>186</v>
      </c>
      <c r="BL80" s="3" t="s">
        <v>186</v>
      </c>
      <c r="BM80" s="3" t="s">
        <v>186</v>
      </c>
      <c r="BN80" s="3" t="s">
        <v>186</v>
      </c>
      <c r="BO80" s="3" t="s">
        <v>186</v>
      </c>
      <c r="BP80" s="3" t="s">
        <v>186</v>
      </c>
      <c r="BQ80" s="3" t="s">
        <v>186</v>
      </c>
      <c r="BR80" s="3" t="s">
        <v>186</v>
      </c>
      <c r="BS80" s="3" t="s">
        <v>186</v>
      </c>
      <c r="BT80" s="3" t="s">
        <v>186</v>
      </c>
      <c r="BU80" s="3" t="s">
        <v>186</v>
      </c>
      <c r="BV80" s="3" t="s">
        <v>186</v>
      </c>
      <c r="BW80" s="3" t="s">
        <v>186</v>
      </c>
      <c r="BX80" s="21" t="s">
        <v>417</v>
      </c>
      <c r="BY80" s="3" t="str">
        <f t="shared" si="5"/>
        <v>Och-A_RedoLibraries</v>
      </c>
      <c r="BZ80" s="3" t="str">
        <f t="shared" si="6"/>
        <v>A4</v>
      </c>
      <c r="CA80" s="3" t="str">
        <f t="shared" si="7"/>
        <v>Och-A</v>
      </c>
      <c r="CC80" s="3">
        <v>1.5</v>
      </c>
      <c r="CD80" t="s">
        <v>481</v>
      </c>
      <c r="CE80" s="21" t="str">
        <f t="shared" si="8"/>
        <v>OcA0100404A</v>
      </c>
      <c r="CF80" s="21" t="str">
        <f t="shared" si="9"/>
        <v>Och-ACat_004-Ex1-4A-lcwgs-2-1</v>
      </c>
      <c r="CG80" s="3">
        <f t="shared" si="10"/>
        <v>1.5</v>
      </c>
      <c r="CH80">
        <v>119834</v>
      </c>
      <c r="CI80">
        <v>96055</v>
      </c>
      <c r="CJ80" s="27" t="s">
        <v>79</v>
      </c>
      <c r="CK80" s="3">
        <v>8.1432499957420905</v>
      </c>
      <c r="CL80" t="s">
        <v>1198</v>
      </c>
      <c r="CM80" s="33" t="s">
        <v>1620</v>
      </c>
      <c r="CN80" s="3" t="str">
        <f t="shared" si="11"/>
        <v>Och-ACat_004-Ex1-4A-lcwgs-2-2</v>
      </c>
      <c r="CR80"/>
    </row>
    <row r="81" spans="1:96" x14ac:dyDescent="0.55000000000000004">
      <c r="A81" t="s">
        <v>245</v>
      </c>
      <c r="B81" t="s">
        <v>749</v>
      </c>
      <c r="C81" s="3">
        <v>2</v>
      </c>
      <c r="E81" t="s">
        <v>198</v>
      </c>
      <c r="F81">
        <v>9</v>
      </c>
      <c r="G81" t="s">
        <v>84</v>
      </c>
      <c r="H81">
        <v>21.028792989962152</v>
      </c>
      <c r="I81" s="3" t="s">
        <v>74</v>
      </c>
      <c r="J81" s="3">
        <v>0.2</v>
      </c>
      <c r="K81" s="3">
        <v>7.25</v>
      </c>
      <c r="L81" s="3">
        <v>0.25</v>
      </c>
      <c r="O81" s="3">
        <v>200</v>
      </c>
      <c r="P81" s="3">
        <v>9.5107693577785302</v>
      </c>
      <c r="R81" s="3">
        <v>10</v>
      </c>
      <c r="S81" s="4">
        <v>45141</v>
      </c>
      <c r="T81" s="3" t="s">
        <v>282</v>
      </c>
      <c r="U81" s="3" t="s">
        <v>412</v>
      </c>
      <c r="V81" s="11" t="s">
        <v>99</v>
      </c>
      <c r="W81" s="11">
        <v>18</v>
      </c>
      <c r="X81" s="11" t="s">
        <v>104</v>
      </c>
      <c r="Y81" s="11">
        <v>18</v>
      </c>
      <c r="Z81">
        <v>9</v>
      </c>
      <c r="AA81" t="s">
        <v>84</v>
      </c>
      <c r="AB81" t="s">
        <v>413</v>
      </c>
      <c r="AC81" s="3" t="s">
        <v>78</v>
      </c>
      <c r="AD81" s="3">
        <v>2</v>
      </c>
      <c r="AE81">
        <v>9</v>
      </c>
      <c r="AF81" t="s">
        <v>84</v>
      </c>
      <c r="AG81" t="s">
        <v>644</v>
      </c>
      <c r="AH81" s="17" t="s">
        <v>645</v>
      </c>
      <c r="AI81" t="s">
        <v>632</v>
      </c>
      <c r="AJ81" s="18" t="s">
        <v>633</v>
      </c>
      <c r="AO81" s="10">
        <v>0.178448</v>
      </c>
      <c r="AP81" s="3">
        <v>37</v>
      </c>
      <c r="AQ81" s="3">
        <f t="shared" si="3"/>
        <v>6.602576</v>
      </c>
      <c r="BE81" s="3" t="s">
        <v>79</v>
      </c>
      <c r="BF81" s="3" t="s">
        <v>415</v>
      </c>
      <c r="BG81" s="3" t="s">
        <v>186</v>
      </c>
      <c r="BH81" s="3" t="s">
        <v>186</v>
      </c>
      <c r="BI81" s="3" t="s">
        <v>186</v>
      </c>
      <c r="BJ81" s="3" t="s">
        <v>186</v>
      </c>
      <c r="BK81" s="3" t="s">
        <v>186</v>
      </c>
      <c r="BL81" s="3" t="s">
        <v>186</v>
      </c>
      <c r="BM81" s="3" t="s">
        <v>186</v>
      </c>
      <c r="BN81" s="3" t="s">
        <v>186</v>
      </c>
      <c r="BO81" s="3" t="s">
        <v>186</v>
      </c>
      <c r="BP81" s="3" t="s">
        <v>186</v>
      </c>
      <c r="BQ81" s="3" t="s">
        <v>186</v>
      </c>
      <c r="BR81" s="3" t="s">
        <v>186</v>
      </c>
      <c r="BS81" s="3" t="s">
        <v>186</v>
      </c>
      <c r="BT81" s="3" t="s">
        <v>186</v>
      </c>
      <c r="BU81" s="3" t="s">
        <v>186</v>
      </c>
      <c r="BV81" s="3" t="s">
        <v>186</v>
      </c>
      <c r="BW81" s="3" t="s">
        <v>186</v>
      </c>
      <c r="BX81" s="21" t="s">
        <v>417</v>
      </c>
      <c r="BY81" s="3" t="str">
        <f t="shared" si="5"/>
        <v>Och-A_RedoLibraries</v>
      </c>
      <c r="BZ81" s="3" t="str">
        <f t="shared" si="6"/>
        <v>D9</v>
      </c>
      <c r="CA81" s="3" t="str">
        <f t="shared" si="7"/>
        <v>Och-A</v>
      </c>
      <c r="CC81" s="3">
        <v>1.5</v>
      </c>
      <c r="CD81" t="s">
        <v>481</v>
      </c>
      <c r="CE81" s="21" t="str">
        <f t="shared" si="8"/>
        <v>OcA0100409D</v>
      </c>
      <c r="CF81" s="21" t="str">
        <f t="shared" si="9"/>
        <v>Och-ATum_004-Ex1-9D-lcwgs-2-1</v>
      </c>
      <c r="CG81" s="3">
        <f t="shared" si="10"/>
        <v>1.5</v>
      </c>
      <c r="CH81">
        <v>32473</v>
      </c>
      <c r="CI81">
        <v>27018</v>
      </c>
      <c r="CJ81" t="s">
        <v>79</v>
      </c>
      <c r="CK81" s="3">
        <v>37.483343663794827</v>
      </c>
      <c r="CL81" t="s">
        <v>1200</v>
      </c>
      <c r="CM81" s="33" t="s">
        <v>1621</v>
      </c>
      <c r="CN81" s="3" t="str">
        <f t="shared" si="11"/>
        <v>Och-ATum_004-Ex1-9D-lcwgs-2-2</v>
      </c>
      <c r="CR81"/>
    </row>
    <row r="82" spans="1:96" x14ac:dyDescent="0.55000000000000004">
      <c r="A82" t="s">
        <v>205</v>
      </c>
      <c r="B82" t="s">
        <v>714</v>
      </c>
      <c r="C82" s="3">
        <v>2</v>
      </c>
      <c r="E82" t="s">
        <v>198</v>
      </c>
      <c r="F82">
        <v>5</v>
      </c>
      <c r="G82" t="s">
        <v>73</v>
      </c>
      <c r="H82">
        <v>10.687938127365475</v>
      </c>
      <c r="I82" s="3" t="s">
        <v>74</v>
      </c>
      <c r="J82" s="3">
        <v>0.2</v>
      </c>
      <c r="K82" s="3">
        <v>7.25</v>
      </c>
      <c r="L82" s="3">
        <v>0.25</v>
      </c>
      <c r="O82" s="3">
        <v>200</v>
      </c>
      <c r="P82" s="3">
        <v>18.712683177676574</v>
      </c>
      <c r="R82" s="3">
        <v>10</v>
      </c>
      <c r="S82" s="4">
        <v>45141</v>
      </c>
      <c r="T82" s="3" t="s">
        <v>282</v>
      </c>
      <c r="U82" s="3" t="s">
        <v>412</v>
      </c>
      <c r="V82" s="11" t="s">
        <v>96</v>
      </c>
      <c r="W82" s="11">
        <v>9</v>
      </c>
      <c r="X82" s="11" t="s">
        <v>103</v>
      </c>
      <c r="Y82" s="11">
        <v>9</v>
      </c>
      <c r="Z82">
        <v>5</v>
      </c>
      <c r="AA82" t="s">
        <v>73</v>
      </c>
      <c r="AB82" t="s">
        <v>413</v>
      </c>
      <c r="AC82" s="3" t="s">
        <v>78</v>
      </c>
      <c r="AD82" s="3">
        <v>2</v>
      </c>
      <c r="AE82">
        <v>5</v>
      </c>
      <c r="AF82" t="s">
        <v>73</v>
      </c>
      <c r="AG82" t="s">
        <v>614</v>
      </c>
      <c r="AH82" s="17" t="s">
        <v>615</v>
      </c>
      <c r="AI82" t="s">
        <v>624</v>
      </c>
      <c r="AJ82" s="18" t="s">
        <v>625</v>
      </c>
      <c r="AO82" s="10">
        <v>0.381552</v>
      </c>
      <c r="AP82" s="3">
        <v>37</v>
      </c>
      <c r="AQ82" s="3">
        <f t="shared" si="3"/>
        <v>14.117424</v>
      </c>
      <c r="BE82" s="3" t="s">
        <v>79</v>
      </c>
      <c r="BF82" s="3" t="s">
        <v>415</v>
      </c>
      <c r="BG82" s="3" t="s">
        <v>186</v>
      </c>
      <c r="BH82" s="3" t="s">
        <v>186</v>
      </c>
      <c r="BI82" s="3" t="s">
        <v>186</v>
      </c>
      <c r="BJ82" s="3" t="s">
        <v>186</v>
      </c>
      <c r="BK82" s="3" t="s">
        <v>186</v>
      </c>
      <c r="BL82" s="3" t="s">
        <v>186</v>
      </c>
      <c r="BM82" s="3" t="s">
        <v>186</v>
      </c>
      <c r="BN82" s="3" t="s">
        <v>186</v>
      </c>
      <c r="BO82" s="3" t="s">
        <v>186</v>
      </c>
      <c r="BP82" s="3" t="s">
        <v>186</v>
      </c>
      <c r="BQ82" s="3" t="s">
        <v>186</v>
      </c>
      <c r="BR82" s="3" t="s">
        <v>186</v>
      </c>
      <c r="BS82" s="3" t="s">
        <v>186</v>
      </c>
      <c r="BT82" s="3" t="s">
        <v>186</v>
      </c>
      <c r="BU82" s="3" t="s">
        <v>186</v>
      </c>
      <c r="BV82" s="3" t="s">
        <v>186</v>
      </c>
      <c r="BW82" s="3" t="s">
        <v>186</v>
      </c>
      <c r="BX82" s="21" t="s">
        <v>417</v>
      </c>
      <c r="BY82" s="3" t="str">
        <f t="shared" si="5"/>
        <v>Och-A_RedoLibraries</v>
      </c>
      <c r="BZ82" s="3" t="str">
        <f t="shared" si="6"/>
        <v>A5</v>
      </c>
      <c r="CA82" s="3" t="str">
        <f t="shared" si="7"/>
        <v>Och-A</v>
      </c>
      <c r="CC82" s="3">
        <v>1.5</v>
      </c>
      <c r="CD82" t="s">
        <v>488</v>
      </c>
      <c r="CE82" s="21" t="str">
        <f t="shared" si="8"/>
        <v>OcA0100505A</v>
      </c>
      <c r="CF82" s="21" t="str">
        <f t="shared" si="9"/>
        <v>Och-ACat_005-Ex1-5A-lcwgs-2-1</v>
      </c>
      <c r="CG82" s="3">
        <f t="shared" si="10"/>
        <v>1.5</v>
      </c>
      <c r="CH82">
        <v>670683</v>
      </c>
      <c r="CI82">
        <v>487262</v>
      </c>
      <c r="CJ82" s="27" t="s">
        <v>79</v>
      </c>
      <c r="CK82" s="3">
        <v>1.5933949334629856</v>
      </c>
      <c r="CL82" t="s">
        <v>1198</v>
      </c>
      <c r="CM82" s="33" t="s">
        <v>1622</v>
      </c>
      <c r="CN82" s="3" t="str">
        <f t="shared" si="11"/>
        <v>Och-ACat_005-Ex1-5A-lcwgs-2-2</v>
      </c>
      <c r="CR82"/>
    </row>
    <row r="83" spans="1:96" x14ac:dyDescent="0.55000000000000004">
      <c r="A83" t="s">
        <v>246</v>
      </c>
      <c r="B83" t="s">
        <v>750</v>
      </c>
      <c r="C83" s="3">
        <v>2</v>
      </c>
      <c r="E83" t="s">
        <v>198</v>
      </c>
      <c r="F83">
        <v>10</v>
      </c>
      <c r="G83" t="s">
        <v>84</v>
      </c>
      <c r="H83">
        <v>41.680438538752668</v>
      </c>
      <c r="I83" s="3" t="s">
        <v>74</v>
      </c>
      <c r="J83" s="3">
        <v>0.2</v>
      </c>
      <c r="K83" s="3">
        <v>7.25</v>
      </c>
      <c r="L83" s="3">
        <v>0.25</v>
      </c>
      <c r="O83" s="3">
        <v>200</v>
      </c>
      <c r="P83" s="3">
        <v>4.7984140045467285</v>
      </c>
      <c r="R83" s="3">
        <v>10</v>
      </c>
      <c r="S83" s="4">
        <v>45141</v>
      </c>
      <c r="T83" s="3" t="s">
        <v>282</v>
      </c>
      <c r="U83" s="3" t="s">
        <v>412</v>
      </c>
      <c r="V83" s="11" t="s">
        <v>99</v>
      </c>
      <c r="W83" s="11">
        <v>20</v>
      </c>
      <c r="X83" s="11" t="s">
        <v>104</v>
      </c>
      <c r="Y83" s="11">
        <v>20</v>
      </c>
      <c r="Z83">
        <v>10</v>
      </c>
      <c r="AA83" t="s">
        <v>84</v>
      </c>
      <c r="AB83" t="s">
        <v>413</v>
      </c>
      <c r="AC83" s="3" t="s">
        <v>78</v>
      </c>
      <c r="AD83" s="3">
        <v>2</v>
      </c>
      <c r="AE83">
        <v>10</v>
      </c>
      <c r="AF83" t="s">
        <v>84</v>
      </c>
      <c r="AG83" t="s">
        <v>644</v>
      </c>
      <c r="AH83" s="17" t="s">
        <v>645</v>
      </c>
      <c r="AI83" t="s">
        <v>634</v>
      </c>
      <c r="AJ83" s="18" t="s">
        <v>635</v>
      </c>
      <c r="AO83" s="10">
        <v>1.552087</v>
      </c>
      <c r="AP83" s="3">
        <v>37</v>
      </c>
      <c r="AQ83" s="3">
        <f t="shared" si="3"/>
        <v>57.427219000000001</v>
      </c>
      <c r="BE83" s="3" t="s">
        <v>79</v>
      </c>
      <c r="BF83" s="3" t="s">
        <v>415</v>
      </c>
      <c r="BG83" s="3" t="s">
        <v>416</v>
      </c>
      <c r="BH83" s="3">
        <v>1</v>
      </c>
      <c r="BI83" s="3" t="str">
        <f>AA83&amp;Z83</f>
        <v>D10</v>
      </c>
      <c r="BJ83" s="3">
        <v>1</v>
      </c>
      <c r="BK83" s="3" t="str">
        <f>BR83&amp;BQ83</f>
        <v>E5</v>
      </c>
      <c r="BL83" s="10">
        <v>1.5</v>
      </c>
      <c r="BM83" s="3">
        <v>0.4</v>
      </c>
      <c r="BN83" s="3">
        <f>AO83*BL83/BM83</f>
        <v>5.820326249999999</v>
      </c>
      <c r="BO83" s="3">
        <f>BN83-BL83</f>
        <v>4.320326249999999</v>
      </c>
      <c r="BP83" s="3" t="s">
        <v>420</v>
      </c>
      <c r="BQ83">
        <v>5</v>
      </c>
      <c r="BR83" t="s">
        <v>87</v>
      </c>
      <c r="BS83" s="3">
        <v>1</v>
      </c>
      <c r="BT83" s="3" t="s">
        <v>418</v>
      </c>
      <c r="BU83" s="3">
        <v>1</v>
      </c>
      <c r="BV83" s="3" t="str">
        <f>BR83&amp;BQ83</f>
        <v>E5</v>
      </c>
      <c r="BW83" s="3">
        <f>BO83</f>
        <v>4.320326249999999</v>
      </c>
      <c r="BX83" s="21" t="s">
        <v>417</v>
      </c>
      <c r="BY83" s="3" t="str">
        <f t="shared" si="5"/>
        <v>Och-Mixed_Dilution Plate</v>
      </c>
      <c r="BZ83" s="3" t="str">
        <f t="shared" si="6"/>
        <v>E5</v>
      </c>
      <c r="CA83" s="3" t="str">
        <f t="shared" si="7"/>
        <v>Och-A</v>
      </c>
      <c r="CC83" s="3">
        <v>1.5</v>
      </c>
      <c r="CD83" t="s">
        <v>488</v>
      </c>
      <c r="CE83" s="21" t="str">
        <f t="shared" si="8"/>
        <v>OcA0100510D</v>
      </c>
      <c r="CF83" s="21" t="str">
        <f t="shared" si="9"/>
        <v>Och-ATum_005-Ex1-10D-lcwgs-2-1</v>
      </c>
      <c r="CG83" s="3">
        <f t="shared" si="10"/>
        <v>0.38657626795405164</v>
      </c>
      <c r="CH83">
        <v>2082599</v>
      </c>
      <c r="CI83">
        <v>1713345</v>
      </c>
      <c r="CJ83" t="s">
        <v>79</v>
      </c>
      <c r="CK83" s="3">
        <v>0.14684852582874564</v>
      </c>
      <c r="CL83" t="s">
        <v>1200</v>
      </c>
      <c r="CM83" s="33" t="s">
        <v>1623</v>
      </c>
      <c r="CN83" s="3" t="str">
        <f t="shared" si="11"/>
        <v>Och-ATum_005-Ex1-10D-lcwgs-2-2</v>
      </c>
      <c r="CR83"/>
    </row>
    <row r="84" spans="1:96" x14ac:dyDescent="0.55000000000000004">
      <c r="A84" t="s">
        <v>206</v>
      </c>
      <c r="B84" t="s">
        <v>715</v>
      </c>
      <c r="C84" s="3">
        <v>2</v>
      </c>
      <c r="E84" t="s">
        <v>198</v>
      </c>
      <c r="F84">
        <v>6</v>
      </c>
      <c r="G84" t="s">
        <v>73</v>
      </c>
      <c r="H84">
        <v>13.140550436070429</v>
      </c>
      <c r="I84" s="3" t="s">
        <v>74</v>
      </c>
      <c r="J84" s="3">
        <v>0.2</v>
      </c>
      <c r="K84" s="3">
        <v>7.25</v>
      </c>
      <c r="L84" s="3">
        <v>0.25</v>
      </c>
      <c r="O84" s="3">
        <v>200</v>
      </c>
      <c r="P84" s="3">
        <v>15.220062582082241</v>
      </c>
      <c r="R84" s="3">
        <v>10</v>
      </c>
      <c r="S84" s="4">
        <v>45141</v>
      </c>
      <c r="T84" s="3" t="s">
        <v>282</v>
      </c>
      <c r="U84" s="3" t="s">
        <v>412</v>
      </c>
      <c r="V84" s="11" t="s">
        <v>96</v>
      </c>
      <c r="W84" s="11">
        <v>11</v>
      </c>
      <c r="X84" s="11" t="s">
        <v>103</v>
      </c>
      <c r="Y84" s="11">
        <v>11</v>
      </c>
      <c r="Z84">
        <v>6</v>
      </c>
      <c r="AA84" t="s">
        <v>73</v>
      </c>
      <c r="AB84" t="s">
        <v>413</v>
      </c>
      <c r="AC84" s="3" t="s">
        <v>78</v>
      </c>
      <c r="AD84" s="3">
        <v>2</v>
      </c>
      <c r="AE84">
        <v>6</v>
      </c>
      <c r="AF84" t="s">
        <v>73</v>
      </c>
      <c r="AG84" t="s">
        <v>614</v>
      </c>
      <c r="AH84" s="17" t="s">
        <v>615</v>
      </c>
      <c r="AI84" t="s">
        <v>626</v>
      </c>
      <c r="AJ84" s="18" t="s">
        <v>627</v>
      </c>
      <c r="AO84" s="10">
        <v>1.1511039999999999</v>
      </c>
      <c r="AP84" s="3">
        <v>37</v>
      </c>
      <c r="AQ84" s="3">
        <f t="shared" si="3"/>
        <v>42.590847999999994</v>
      </c>
      <c r="BE84" s="3" t="s">
        <v>79</v>
      </c>
      <c r="BF84" s="3" t="s">
        <v>415</v>
      </c>
      <c r="BG84" s="3" t="s">
        <v>416</v>
      </c>
      <c r="BH84" s="3">
        <v>1</v>
      </c>
      <c r="BI84" s="3" t="str">
        <f>AA84&amp;Z84</f>
        <v>A6</v>
      </c>
      <c r="BJ84" s="3">
        <v>1</v>
      </c>
      <c r="BK84" s="3" t="str">
        <f>BR84&amp;BQ84</f>
        <v>H4</v>
      </c>
      <c r="BL84" s="10">
        <v>1.5</v>
      </c>
      <c r="BM84" s="3">
        <v>0.4</v>
      </c>
      <c r="BN84" s="3">
        <f>AO84*BL84/BM84</f>
        <v>4.3166399999999987</v>
      </c>
      <c r="BO84" s="3">
        <f>BN84-BL84</f>
        <v>2.8166399999999987</v>
      </c>
      <c r="BP84" s="3" t="s">
        <v>420</v>
      </c>
      <c r="BQ84">
        <v>4</v>
      </c>
      <c r="BR84" t="s">
        <v>92</v>
      </c>
      <c r="BS84" s="3">
        <v>1</v>
      </c>
      <c r="BT84" s="3" t="s">
        <v>418</v>
      </c>
      <c r="BU84" s="3">
        <v>1</v>
      </c>
      <c r="BV84" s="3" t="str">
        <f>BR84&amp;BQ84</f>
        <v>H4</v>
      </c>
      <c r="BW84" s="3">
        <f>BO84</f>
        <v>2.8166399999999987</v>
      </c>
      <c r="BX84" s="21" t="s">
        <v>417</v>
      </c>
      <c r="BY84" s="3" t="str">
        <f t="shared" si="5"/>
        <v>Och-Mixed_Dilution Plate</v>
      </c>
      <c r="BZ84" s="3" t="str">
        <f t="shared" si="6"/>
        <v>H4</v>
      </c>
      <c r="CA84" s="3" t="str">
        <f t="shared" si="7"/>
        <v>Och-A</v>
      </c>
      <c r="CC84" s="3">
        <v>1.5</v>
      </c>
      <c r="CD84" t="s">
        <v>495</v>
      </c>
      <c r="CE84" s="21" t="str">
        <f t="shared" si="8"/>
        <v>OcA0100606A</v>
      </c>
      <c r="CF84" s="21" t="str">
        <f t="shared" si="9"/>
        <v>Och-ACat_006-Ex1-6A-lcwgs-2-1</v>
      </c>
      <c r="CG84" s="3">
        <f t="shared" si="10"/>
        <v>0.52123874124318925</v>
      </c>
      <c r="CH84">
        <v>2741576</v>
      </c>
      <c r="CI84">
        <v>2129559</v>
      </c>
      <c r="CJ84" s="27" t="s">
        <v>79</v>
      </c>
      <c r="CK84" s="3">
        <v>0.12271736113567294</v>
      </c>
      <c r="CL84" t="s">
        <v>1198</v>
      </c>
      <c r="CM84" s="33" t="s">
        <v>1624</v>
      </c>
      <c r="CN84" s="3" t="str">
        <f t="shared" si="11"/>
        <v>Och-ACat_006-Ex1-6A-lcwgs-2-2</v>
      </c>
      <c r="CR84"/>
    </row>
    <row r="85" spans="1:96" x14ac:dyDescent="0.55000000000000004">
      <c r="A85" t="s">
        <v>247</v>
      </c>
      <c r="B85" t="s">
        <v>751</v>
      </c>
      <c r="C85" s="3">
        <v>2</v>
      </c>
      <c r="E85" t="s">
        <v>198</v>
      </c>
      <c r="F85">
        <v>11</v>
      </c>
      <c r="G85" t="s">
        <v>84</v>
      </c>
      <c r="H85">
        <v>27.608910646700675</v>
      </c>
      <c r="I85" s="3" t="s">
        <v>74</v>
      </c>
      <c r="J85" s="3">
        <v>0.2</v>
      </c>
      <c r="K85" s="3">
        <v>7.25</v>
      </c>
      <c r="L85" s="3">
        <v>0.25</v>
      </c>
      <c r="O85" s="3">
        <v>200</v>
      </c>
      <c r="P85" s="3">
        <v>7.2440380773915267</v>
      </c>
      <c r="R85" s="3">
        <v>10</v>
      </c>
      <c r="S85" s="4">
        <v>45141</v>
      </c>
      <c r="T85" s="3" t="s">
        <v>282</v>
      </c>
      <c r="U85" s="3" t="s">
        <v>412</v>
      </c>
      <c r="V85" s="11" t="s">
        <v>99</v>
      </c>
      <c r="W85" s="11">
        <v>22</v>
      </c>
      <c r="X85" s="11" t="s">
        <v>104</v>
      </c>
      <c r="Y85" s="11">
        <v>22</v>
      </c>
      <c r="Z85">
        <v>11</v>
      </c>
      <c r="AA85" t="s">
        <v>84</v>
      </c>
      <c r="AB85" t="s">
        <v>413</v>
      </c>
      <c r="AC85" s="3" t="s">
        <v>78</v>
      </c>
      <c r="AD85" s="3">
        <v>2</v>
      </c>
      <c r="AE85">
        <v>11</v>
      </c>
      <c r="AF85" t="s">
        <v>84</v>
      </c>
      <c r="AG85" t="s">
        <v>644</v>
      </c>
      <c r="AH85" s="17" t="s">
        <v>645</v>
      </c>
      <c r="AI85" t="s">
        <v>636</v>
      </c>
      <c r="AJ85" s="18" t="s">
        <v>637</v>
      </c>
      <c r="AO85" s="10">
        <v>0.58142000000000005</v>
      </c>
      <c r="AP85" s="3">
        <v>37</v>
      </c>
      <c r="AQ85" s="3">
        <f t="shared" si="3"/>
        <v>21.512540000000001</v>
      </c>
      <c r="BE85" s="3" t="s">
        <v>79</v>
      </c>
      <c r="BF85" s="3" t="s">
        <v>415</v>
      </c>
      <c r="BG85" s="3" t="s">
        <v>416</v>
      </c>
      <c r="BH85" s="3">
        <v>1</v>
      </c>
      <c r="BI85" s="3" t="str">
        <f>AA85&amp;Z85</f>
        <v>D11</v>
      </c>
      <c r="BJ85" s="3">
        <v>1</v>
      </c>
      <c r="BK85" s="3" t="str">
        <f>BR85&amp;BQ85</f>
        <v>D1</v>
      </c>
      <c r="BL85" s="10">
        <v>1.5</v>
      </c>
      <c r="BM85" s="3">
        <v>0.4</v>
      </c>
      <c r="BN85" s="3">
        <f>AO85*BL85/BM85</f>
        <v>2.1803249999999998</v>
      </c>
      <c r="BO85" s="3">
        <f>BN85-BL85</f>
        <v>0.68032499999999985</v>
      </c>
      <c r="BP85" s="3" t="s">
        <v>420</v>
      </c>
      <c r="BQ85">
        <v>1</v>
      </c>
      <c r="BR85" t="s">
        <v>84</v>
      </c>
      <c r="BS85" s="3">
        <v>1</v>
      </c>
      <c r="BT85" s="3" t="s">
        <v>418</v>
      </c>
      <c r="BU85" s="3">
        <v>1</v>
      </c>
      <c r="BV85" s="3" t="str">
        <f>BR85&amp;BQ85</f>
        <v>D1</v>
      </c>
      <c r="BW85" s="3">
        <f>BO85</f>
        <v>0.68032499999999985</v>
      </c>
      <c r="BX85" s="21" t="s">
        <v>417</v>
      </c>
      <c r="BY85" s="3" t="str">
        <f t="shared" si="5"/>
        <v>Och-Mixed_Dilution Plate</v>
      </c>
      <c r="BZ85" s="3" t="str">
        <f t="shared" si="6"/>
        <v>D1</v>
      </c>
      <c r="CA85" s="3" t="str">
        <f t="shared" si="7"/>
        <v>Och-A</v>
      </c>
      <c r="CC85" s="3">
        <v>1.5</v>
      </c>
      <c r="CD85" t="s">
        <v>495</v>
      </c>
      <c r="CE85" s="21" t="str">
        <f t="shared" si="8"/>
        <v>OcA0100611D</v>
      </c>
      <c r="CF85" s="21" t="str">
        <f t="shared" si="9"/>
        <v>Och-ATum_006-Ex1-11D-lcwgs-2-1</v>
      </c>
      <c r="CG85" s="3">
        <f t="shared" si="10"/>
        <v>1.0319562450552098</v>
      </c>
      <c r="CH85">
        <v>29667</v>
      </c>
      <c r="CI85">
        <v>24145</v>
      </c>
      <c r="CJ85" t="s">
        <v>79</v>
      </c>
      <c r="CK85" s="3">
        <v>28.857650522191602</v>
      </c>
      <c r="CL85" t="s">
        <v>1200</v>
      </c>
      <c r="CM85" s="33" t="s">
        <v>1625</v>
      </c>
      <c r="CN85" s="3" t="str">
        <f t="shared" si="11"/>
        <v>Och-ATum_006-Ex1-11D-lcwgs-2-2</v>
      </c>
      <c r="CR85"/>
    </row>
    <row r="86" spans="1:96" x14ac:dyDescent="0.55000000000000004">
      <c r="A86" t="s">
        <v>207</v>
      </c>
      <c r="B86" t="s">
        <v>780</v>
      </c>
      <c r="C86" s="3">
        <v>1</v>
      </c>
      <c r="E86" t="s">
        <v>198</v>
      </c>
      <c r="F86">
        <v>7</v>
      </c>
      <c r="G86" t="s">
        <v>73</v>
      </c>
      <c r="H86" s="3">
        <v>4.4497737370413031</v>
      </c>
      <c r="I86" s="3" t="s">
        <v>74</v>
      </c>
      <c r="J86" s="3">
        <v>0.2</v>
      </c>
      <c r="K86" s="3">
        <v>7.25</v>
      </c>
      <c r="L86" s="3">
        <v>0.25</v>
      </c>
      <c r="O86" s="3">
        <v>100</v>
      </c>
      <c r="P86" s="3">
        <v>22.473052768406816</v>
      </c>
      <c r="R86" s="3">
        <v>10</v>
      </c>
      <c r="S86" s="4">
        <v>44945</v>
      </c>
      <c r="T86" s="3" t="s">
        <v>199</v>
      </c>
      <c r="U86" s="3" t="s">
        <v>200</v>
      </c>
      <c r="V86">
        <v>7</v>
      </c>
      <c r="W86" t="s">
        <v>73</v>
      </c>
      <c r="X86">
        <v>8</v>
      </c>
      <c r="Y86" t="s">
        <v>73</v>
      </c>
      <c r="Z86">
        <v>4</v>
      </c>
      <c r="AA86" t="s">
        <v>73</v>
      </c>
      <c r="AB86" t="s">
        <v>201</v>
      </c>
      <c r="AC86" s="3" t="s">
        <v>78</v>
      </c>
      <c r="AD86" s="3">
        <v>5</v>
      </c>
      <c r="AE86">
        <v>4</v>
      </c>
      <c r="AF86" t="s">
        <v>73</v>
      </c>
      <c r="AG86" t="s">
        <v>696</v>
      </c>
      <c r="AH86" s="17" t="s">
        <v>697</v>
      </c>
      <c r="AI86" t="s">
        <v>698</v>
      </c>
      <c r="AJ86" s="18" t="s">
        <v>699</v>
      </c>
      <c r="AO86" s="3">
        <v>0.24627159413951455</v>
      </c>
      <c r="AP86" s="3">
        <v>37</v>
      </c>
      <c r="AQ86" s="3">
        <f t="shared" si="3"/>
        <v>9.1120489831620386</v>
      </c>
      <c r="BE86" s="3" t="s">
        <v>79</v>
      </c>
      <c r="BF86" s="3" t="s">
        <v>415</v>
      </c>
      <c r="BG86" s="3" t="s">
        <v>186</v>
      </c>
      <c r="BH86" s="3" t="s">
        <v>186</v>
      </c>
      <c r="BI86" s="3" t="s">
        <v>186</v>
      </c>
      <c r="BJ86" s="3" t="s">
        <v>186</v>
      </c>
      <c r="BK86" s="3" t="s">
        <v>186</v>
      </c>
      <c r="BL86" s="3" t="s">
        <v>186</v>
      </c>
      <c r="BM86" s="3" t="s">
        <v>186</v>
      </c>
      <c r="BN86" s="3" t="s">
        <v>186</v>
      </c>
      <c r="BO86" s="3" t="s">
        <v>186</v>
      </c>
      <c r="BP86" s="3" t="s">
        <v>186</v>
      </c>
      <c r="BQ86" s="3" t="s">
        <v>186</v>
      </c>
      <c r="BR86" s="3" t="s">
        <v>186</v>
      </c>
      <c r="BS86" s="3" t="s">
        <v>186</v>
      </c>
      <c r="BT86" s="3" t="s">
        <v>186</v>
      </c>
      <c r="BU86" s="3" t="s">
        <v>186</v>
      </c>
      <c r="BV86" s="3" t="s">
        <v>186</v>
      </c>
      <c r="BW86" s="3" t="s">
        <v>186</v>
      </c>
      <c r="BX86" s="21" t="s">
        <v>417</v>
      </c>
      <c r="BY86" s="3" t="str">
        <f t="shared" si="5"/>
        <v>PIRE-A_LibrariesforCapture_Jan2023-2</v>
      </c>
      <c r="BZ86" s="3" t="str">
        <f t="shared" si="6"/>
        <v>A4</v>
      </c>
      <c r="CA86" s="3" t="str">
        <f t="shared" si="7"/>
        <v>Och-A</v>
      </c>
      <c r="CC86" s="3">
        <v>1.5</v>
      </c>
      <c r="CD86" t="s">
        <v>498</v>
      </c>
      <c r="CE86" s="21" t="str">
        <f t="shared" si="8"/>
        <v>OcA0100704A</v>
      </c>
      <c r="CF86" s="21" t="str">
        <f t="shared" si="9"/>
        <v>Och-ACat_007-Ex1-4A-lcwgs-1-1</v>
      </c>
      <c r="CG86" s="3">
        <f t="shared" si="10"/>
        <v>1.5</v>
      </c>
      <c r="CH86">
        <v>18080</v>
      </c>
      <c r="CI86">
        <v>13718</v>
      </c>
      <c r="CJ86" s="27" t="s">
        <v>185</v>
      </c>
      <c r="CK86" s="3">
        <v>0</v>
      </c>
      <c r="CL86"/>
      <c r="CM86" s="33"/>
    </row>
    <row r="87" spans="1:96" x14ac:dyDescent="0.55000000000000004">
      <c r="A87" t="s">
        <v>207</v>
      </c>
      <c r="B87" t="s">
        <v>780</v>
      </c>
      <c r="C87" s="3">
        <v>2</v>
      </c>
      <c r="E87" t="s">
        <v>198</v>
      </c>
      <c r="F87">
        <v>7</v>
      </c>
      <c r="G87" t="s">
        <v>73</v>
      </c>
      <c r="H87">
        <v>4.4497737370413031</v>
      </c>
      <c r="I87" s="3" t="s">
        <v>74</v>
      </c>
      <c r="J87" s="3">
        <v>0.2</v>
      </c>
      <c r="K87" s="3">
        <v>7.25</v>
      </c>
      <c r="L87" s="3">
        <v>0.25</v>
      </c>
      <c r="O87" s="3">
        <v>200</v>
      </c>
      <c r="P87" s="3">
        <v>44.946105536813633</v>
      </c>
      <c r="R87" s="3">
        <v>10</v>
      </c>
      <c r="S87" s="4">
        <v>45141</v>
      </c>
      <c r="T87" s="3" t="s">
        <v>282</v>
      </c>
      <c r="U87" s="3" t="s">
        <v>412</v>
      </c>
      <c r="V87" s="11" t="s">
        <v>96</v>
      </c>
      <c r="W87" s="11">
        <v>13</v>
      </c>
      <c r="X87" s="11" t="s">
        <v>103</v>
      </c>
      <c r="Y87" s="11">
        <v>13</v>
      </c>
      <c r="Z87">
        <v>7</v>
      </c>
      <c r="AA87" t="s">
        <v>73</v>
      </c>
      <c r="AB87" t="s">
        <v>413</v>
      </c>
      <c r="AC87" s="3" t="s">
        <v>78</v>
      </c>
      <c r="AD87" s="3">
        <v>2</v>
      </c>
      <c r="AE87">
        <v>7</v>
      </c>
      <c r="AF87" t="s">
        <v>73</v>
      </c>
      <c r="AG87" t="s">
        <v>614</v>
      </c>
      <c r="AH87" s="17" t="s">
        <v>615</v>
      </c>
      <c r="AI87" t="s">
        <v>628</v>
      </c>
      <c r="AJ87" s="18" t="s">
        <v>629</v>
      </c>
      <c r="AO87" s="10">
        <v>0.39641599999999999</v>
      </c>
      <c r="AP87" s="3">
        <v>37</v>
      </c>
      <c r="AQ87" s="3">
        <f t="shared" si="3"/>
        <v>14.667392</v>
      </c>
      <c r="BE87" s="3" t="s">
        <v>79</v>
      </c>
      <c r="BF87" s="3" t="s">
        <v>415</v>
      </c>
      <c r="BG87" s="3" t="s">
        <v>186</v>
      </c>
      <c r="BH87" s="3" t="s">
        <v>186</v>
      </c>
      <c r="BI87" s="3" t="s">
        <v>186</v>
      </c>
      <c r="BJ87" s="3" t="s">
        <v>186</v>
      </c>
      <c r="BK87" s="3" t="s">
        <v>186</v>
      </c>
      <c r="BL87" s="3" t="s">
        <v>186</v>
      </c>
      <c r="BM87" s="3" t="s">
        <v>186</v>
      </c>
      <c r="BN87" s="3" t="s">
        <v>186</v>
      </c>
      <c r="BO87" s="3" t="s">
        <v>186</v>
      </c>
      <c r="BP87" s="3" t="s">
        <v>186</v>
      </c>
      <c r="BQ87" s="3" t="s">
        <v>186</v>
      </c>
      <c r="BR87" s="3" t="s">
        <v>186</v>
      </c>
      <c r="BS87" s="3" t="s">
        <v>186</v>
      </c>
      <c r="BT87" s="3" t="s">
        <v>186</v>
      </c>
      <c r="BU87" s="3" t="s">
        <v>186</v>
      </c>
      <c r="BV87" s="3" t="s">
        <v>186</v>
      </c>
      <c r="BW87" s="3" t="s">
        <v>186</v>
      </c>
      <c r="BX87" s="21" t="s">
        <v>417</v>
      </c>
      <c r="BY87" s="3" t="str">
        <f t="shared" si="5"/>
        <v>Och-A_RedoLibraries</v>
      </c>
      <c r="BZ87" s="3" t="str">
        <f t="shared" si="6"/>
        <v>A7</v>
      </c>
      <c r="CA87" s="3" t="str">
        <f t="shared" si="7"/>
        <v>Och-A</v>
      </c>
      <c r="CC87" s="3">
        <v>1.5</v>
      </c>
      <c r="CD87" t="s">
        <v>498</v>
      </c>
      <c r="CE87" s="21" t="str">
        <f t="shared" si="8"/>
        <v>OcA0100707A</v>
      </c>
      <c r="CF87" s="21" t="str">
        <f t="shared" si="9"/>
        <v>Och-ACat_007-Ex1-7A-lcwgs-2-1</v>
      </c>
      <c r="CG87" s="3">
        <f t="shared" si="10"/>
        <v>1.5</v>
      </c>
      <c r="CH87">
        <v>968549</v>
      </c>
      <c r="CI87">
        <v>739541</v>
      </c>
      <c r="CJ87" s="27" t="s">
        <v>79</v>
      </c>
      <c r="CK87" s="3">
        <v>1.0447847135745958</v>
      </c>
      <c r="CL87" t="s">
        <v>1198</v>
      </c>
      <c r="CM87" s="33" t="s">
        <v>1626</v>
      </c>
      <c r="CN87" s="3" t="str">
        <f>B87&amp;"-"&amp;Z87&amp;AA87&amp;"-lcwgs-"&amp;C87&amp;"-2"</f>
        <v>Och-ACat_007-Ex1-7A-lcwgs-2-2</v>
      </c>
      <c r="CR87"/>
    </row>
    <row r="88" spans="1:96" x14ac:dyDescent="0.55000000000000004">
      <c r="A88" t="s">
        <v>248</v>
      </c>
      <c r="B88" t="s">
        <v>752</v>
      </c>
      <c r="C88" s="3">
        <v>2</v>
      </c>
      <c r="E88" t="s">
        <v>198</v>
      </c>
      <c r="F88">
        <v>12</v>
      </c>
      <c r="G88" t="s">
        <v>84</v>
      </c>
      <c r="H88">
        <v>45.800098732927424</v>
      </c>
      <c r="I88" s="3" t="s">
        <v>74</v>
      </c>
      <c r="J88" s="3">
        <v>0.2</v>
      </c>
      <c r="K88" s="3">
        <v>7.25</v>
      </c>
      <c r="L88" s="3">
        <v>0.25</v>
      </c>
      <c r="O88" s="3">
        <v>200</v>
      </c>
      <c r="P88" s="3">
        <v>4.366802813379361</v>
      </c>
      <c r="R88" s="3">
        <v>10</v>
      </c>
      <c r="S88" s="4">
        <v>45141</v>
      </c>
      <c r="T88" s="3" t="s">
        <v>282</v>
      </c>
      <c r="U88" s="3" t="s">
        <v>412</v>
      </c>
      <c r="V88" s="11" t="s">
        <v>99</v>
      </c>
      <c r="W88" s="11">
        <v>24</v>
      </c>
      <c r="X88" s="11" t="s">
        <v>104</v>
      </c>
      <c r="Y88" s="11">
        <v>24</v>
      </c>
      <c r="Z88">
        <v>12</v>
      </c>
      <c r="AA88" t="s">
        <v>84</v>
      </c>
      <c r="AB88" t="s">
        <v>413</v>
      </c>
      <c r="AC88" s="3" t="s">
        <v>78</v>
      </c>
      <c r="AD88" s="3">
        <v>2</v>
      </c>
      <c r="AE88">
        <v>12</v>
      </c>
      <c r="AF88" t="s">
        <v>84</v>
      </c>
      <c r="AG88" t="s">
        <v>644</v>
      </c>
      <c r="AH88" s="17" t="s">
        <v>645</v>
      </c>
      <c r="AI88" t="s">
        <v>638</v>
      </c>
      <c r="AJ88" s="18" t="s">
        <v>639</v>
      </c>
      <c r="AO88" s="10">
        <v>0.76386299999999996</v>
      </c>
      <c r="AP88" s="3">
        <v>37</v>
      </c>
      <c r="AQ88" s="3">
        <f t="shared" si="3"/>
        <v>28.262930999999998</v>
      </c>
      <c r="BE88" s="3" t="s">
        <v>79</v>
      </c>
      <c r="BF88" s="3" t="s">
        <v>415</v>
      </c>
      <c r="BG88" s="3" t="s">
        <v>416</v>
      </c>
      <c r="BH88" s="3">
        <v>1</v>
      </c>
      <c r="BI88" s="3" t="str">
        <f>AA88&amp;Z88</f>
        <v>D12</v>
      </c>
      <c r="BJ88" s="3">
        <v>1</v>
      </c>
      <c r="BK88" s="3" t="str">
        <f>BR88&amp;BQ88</f>
        <v>F3</v>
      </c>
      <c r="BL88" s="10">
        <v>1.5</v>
      </c>
      <c r="BM88" s="3">
        <v>0.4</v>
      </c>
      <c r="BN88" s="3">
        <f>AO88*BL88/BM88</f>
        <v>2.8644862500000001</v>
      </c>
      <c r="BO88" s="3">
        <f>BN88-BL88</f>
        <v>1.3644862500000001</v>
      </c>
      <c r="BP88" s="3" t="s">
        <v>420</v>
      </c>
      <c r="BQ88">
        <v>3</v>
      </c>
      <c r="BR88" t="s">
        <v>88</v>
      </c>
      <c r="BS88" s="3">
        <v>1</v>
      </c>
      <c r="BT88" s="3" t="s">
        <v>418</v>
      </c>
      <c r="BU88" s="3">
        <v>1</v>
      </c>
      <c r="BV88" s="3" t="str">
        <f>BR88&amp;BQ88</f>
        <v>F3</v>
      </c>
      <c r="BW88" s="3">
        <f>BO88</f>
        <v>1.3644862500000001</v>
      </c>
      <c r="BX88" s="21" t="s">
        <v>417</v>
      </c>
      <c r="BY88" s="3" t="str">
        <f t="shared" si="5"/>
        <v>Och-Mixed_Dilution Plate</v>
      </c>
      <c r="BZ88" s="3" t="str">
        <f t="shared" si="6"/>
        <v>F3</v>
      </c>
      <c r="CA88" s="3" t="str">
        <f t="shared" si="7"/>
        <v>Och-A</v>
      </c>
      <c r="CC88" s="3">
        <v>1.5</v>
      </c>
      <c r="CD88" t="s">
        <v>498</v>
      </c>
      <c r="CE88" s="21" t="str">
        <f t="shared" si="8"/>
        <v>OcA0100712D</v>
      </c>
      <c r="CF88" s="21" t="str">
        <f t="shared" si="9"/>
        <v>Och-ATum_007-Ex1-12D-lcwgs-2-1</v>
      </c>
      <c r="CG88" s="3">
        <f t="shared" si="10"/>
        <v>0.78548116612533925</v>
      </c>
      <c r="CH88">
        <v>537376</v>
      </c>
      <c r="CI88">
        <v>407837</v>
      </c>
      <c r="CJ88" t="s">
        <v>79</v>
      </c>
      <c r="CK88" s="3">
        <v>1.2897474725275286</v>
      </c>
      <c r="CL88" t="s">
        <v>1200</v>
      </c>
      <c r="CM88" s="33" t="s">
        <v>1627</v>
      </c>
      <c r="CN88" s="3" t="str">
        <f>B88&amp;"-"&amp;Z88&amp;AA88&amp;"-lcwgs-"&amp;C88&amp;"-2"</f>
        <v>Och-ATum_007-Ex1-12D-lcwgs-2-2</v>
      </c>
      <c r="CR88"/>
    </row>
    <row r="89" spans="1:96" x14ac:dyDescent="0.55000000000000004">
      <c r="A89" t="s">
        <v>249</v>
      </c>
      <c r="B89" t="s">
        <v>753</v>
      </c>
      <c r="C89" s="3">
        <v>2</v>
      </c>
      <c r="E89" t="s">
        <v>198</v>
      </c>
      <c r="F89">
        <v>1</v>
      </c>
      <c r="G89" t="s">
        <v>250</v>
      </c>
      <c r="H89">
        <v>22.564324502221492</v>
      </c>
      <c r="I89" s="3" t="s">
        <v>74</v>
      </c>
      <c r="J89" s="3">
        <v>0.2</v>
      </c>
      <c r="K89" s="3">
        <v>7.25</v>
      </c>
      <c r="L89" s="3">
        <v>0.25</v>
      </c>
      <c r="O89" s="3">
        <v>200</v>
      </c>
      <c r="P89" s="3">
        <v>8.8635491827069632</v>
      </c>
      <c r="R89" s="3">
        <v>10</v>
      </c>
      <c r="S89" s="4">
        <v>45141</v>
      </c>
      <c r="T89" s="3" t="s">
        <v>282</v>
      </c>
      <c r="U89" s="3" t="s">
        <v>412</v>
      </c>
      <c r="V89" s="11" t="s">
        <v>100</v>
      </c>
      <c r="W89" s="11">
        <v>1</v>
      </c>
      <c r="X89" s="11" t="s">
        <v>107</v>
      </c>
      <c r="Y89" s="11">
        <v>1</v>
      </c>
      <c r="Z89">
        <v>1</v>
      </c>
      <c r="AA89" t="s">
        <v>87</v>
      </c>
      <c r="AB89" t="s">
        <v>413</v>
      </c>
      <c r="AC89" s="3" t="s">
        <v>78</v>
      </c>
      <c r="AD89" s="3">
        <v>2</v>
      </c>
      <c r="AE89">
        <v>1</v>
      </c>
      <c r="AF89" t="s">
        <v>250</v>
      </c>
      <c r="AG89" t="s">
        <v>646</v>
      </c>
      <c r="AH89" s="17" t="s">
        <v>647</v>
      </c>
      <c r="AI89" t="s">
        <v>616</v>
      </c>
      <c r="AJ89" s="18" t="s">
        <v>617</v>
      </c>
      <c r="AO89" s="10">
        <v>0.34991899999999998</v>
      </c>
      <c r="AP89" s="3">
        <v>37</v>
      </c>
      <c r="AQ89" s="3">
        <f t="shared" si="3"/>
        <v>12.947002999999999</v>
      </c>
      <c r="BE89" s="3" t="s">
        <v>79</v>
      </c>
      <c r="BF89" s="3" t="s">
        <v>415</v>
      </c>
      <c r="BG89" s="3" t="s">
        <v>186</v>
      </c>
      <c r="BH89" s="3" t="s">
        <v>186</v>
      </c>
      <c r="BI89" s="3" t="s">
        <v>186</v>
      </c>
      <c r="BJ89" s="3" t="s">
        <v>186</v>
      </c>
      <c r="BK89" s="3" t="s">
        <v>186</v>
      </c>
      <c r="BL89" s="3" t="s">
        <v>186</v>
      </c>
      <c r="BM89" s="3" t="s">
        <v>186</v>
      </c>
      <c r="BN89" s="3" t="s">
        <v>186</v>
      </c>
      <c r="BO89" s="3" t="s">
        <v>186</v>
      </c>
      <c r="BP89" s="3" t="s">
        <v>186</v>
      </c>
      <c r="BQ89" s="3" t="s">
        <v>186</v>
      </c>
      <c r="BR89" s="3" t="s">
        <v>186</v>
      </c>
      <c r="BS89" s="3" t="s">
        <v>186</v>
      </c>
      <c r="BT89" s="3" t="s">
        <v>186</v>
      </c>
      <c r="BU89" s="3" t="s">
        <v>186</v>
      </c>
      <c r="BV89" s="3" t="s">
        <v>186</v>
      </c>
      <c r="BW89" s="3" t="s">
        <v>186</v>
      </c>
      <c r="BX89" s="21" t="s">
        <v>417</v>
      </c>
      <c r="BY89" s="3" t="str">
        <f t="shared" si="5"/>
        <v>Och-A_RedoLibraries</v>
      </c>
      <c r="BZ89" s="3" t="str">
        <f t="shared" si="6"/>
        <v>E1</v>
      </c>
      <c r="CA89" s="3" t="str">
        <f t="shared" si="7"/>
        <v>Och-A</v>
      </c>
      <c r="CC89" s="3">
        <v>1.5</v>
      </c>
      <c r="CD89" t="s">
        <v>464</v>
      </c>
      <c r="CE89" s="21" t="str">
        <f t="shared" si="8"/>
        <v>OcA0100801E</v>
      </c>
      <c r="CF89" s="21" t="str">
        <f t="shared" si="9"/>
        <v>Och-ATum_008-Ex1-1E-lcwgs-2-1</v>
      </c>
      <c r="CG89" s="3">
        <f t="shared" si="10"/>
        <v>1.5</v>
      </c>
      <c r="CH89">
        <v>174241</v>
      </c>
      <c r="CI89">
        <v>134633</v>
      </c>
      <c r="CJ89" t="s">
        <v>79</v>
      </c>
      <c r="CK89" s="3">
        <v>7.5048363903235256</v>
      </c>
      <c r="CL89" t="s">
        <v>1200</v>
      </c>
      <c r="CM89" s="33" t="s">
        <v>1629</v>
      </c>
      <c r="CN89" s="3" t="str">
        <f>B89&amp;"-"&amp;Z89&amp;AA89&amp;"-lcwgs-"&amp;C89&amp;"-2"</f>
        <v>Och-ATum_008-Ex1-1E-lcwgs-2-2</v>
      </c>
      <c r="CR89"/>
    </row>
    <row r="90" spans="1:96" x14ac:dyDescent="0.55000000000000004">
      <c r="A90" t="s">
        <v>208</v>
      </c>
      <c r="B90" t="s">
        <v>716</v>
      </c>
      <c r="C90" s="3">
        <v>2</v>
      </c>
      <c r="E90" t="s">
        <v>198</v>
      </c>
      <c r="F90">
        <v>8</v>
      </c>
      <c r="G90" t="s">
        <v>73</v>
      </c>
      <c r="H90">
        <v>4.3887773572486424</v>
      </c>
      <c r="I90" s="3" t="s">
        <v>74</v>
      </c>
      <c r="J90" s="3">
        <v>0.2</v>
      </c>
      <c r="K90" s="3">
        <v>7.25</v>
      </c>
      <c r="L90" s="3">
        <v>0.25</v>
      </c>
      <c r="O90" s="3">
        <v>200</v>
      </c>
      <c r="P90" s="3">
        <v>45.570778310199245</v>
      </c>
      <c r="R90" s="3">
        <v>10</v>
      </c>
      <c r="S90" s="4">
        <v>45141</v>
      </c>
      <c r="T90" s="3" t="s">
        <v>282</v>
      </c>
      <c r="U90" s="3" t="s">
        <v>412</v>
      </c>
      <c r="V90" s="11" t="s">
        <v>96</v>
      </c>
      <c r="W90" s="11">
        <v>15</v>
      </c>
      <c r="X90" s="11" t="s">
        <v>103</v>
      </c>
      <c r="Y90" s="11">
        <v>15</v>
      </c>
      <c r="Z90">
        <v>8</v>
      </c>
      <c r="AA90" t="s">
        <v>73</v>
      </c>
      <c r="AB90" t="s">
        <v>413</v>
      </c>
      <c r="AC90" s="3" t="s">
        <v>78</v>
      </c>
      <c r="AD90" s="3">
        <v>2</v>
      </c>
      <c r="AE90">
        <v>8</v>
      </c>
      <c r="AF90" t="s">
        <v>73</v>
      </c>
      <c r="AG90" t="s">
        <v>614</v>
      </c>
      <c r="AH90" s="17" t="s">
        <v>615</v>
      </c>
      <c r="AI90" t="s">
        <v>630</v>
      </c>
      <c r="AJ90" s="18" t="s">
        <v>631</v>
      </c>
      <c r="AO90" s="10">
        <v>0.46371600000000002</v>
      </c>
      <c r="AP90" s="3">
        <v>37</v>
      </c>
      <c r="AQ90" s="3">
        <f t="shared" si="3"/>
        <v>17.157492000000001</v>
      </c>
      <c r="BE90" s="3" t="s">
        <v>414</v>
      </c>
      <c r="BF90" s="3" t="s">
        <v>415</v>
      </c>
      <c r="BG90" s="3" t="s">
        <v>186</v>
      </c>
      <c r="BH90" s="3" t="s">
        <v>186</v>
      </c>
      <c r="BI90" s="3" t="s">
        <v>186</v>
      </c>
      <c r="BJ90" s="3" t="s">
        <v>186</v>
      </c>
      <c r="BK90" s="3" t="s">
        <v>186</v>
      </c>
      <c r="BL90" s="3" t="s">
        <v>186</v>
      </c>
      <c r="BM90" s="3" t="s">
        <v>186</v>
      </c>
      <c r="BN90" s="3" t="s">
        <v>186</v>
      </c>
      <c r="BO90" s="3" t="s">
        <v>186</v>
      </c>
      <c r="BP90" s="3" t="s">
        <v>186</v>
      </c>
      <c r="BQ90" s="3" t="s">
        <v>186</v>
      </c>
      <c r="BR90" s="3" t="s">
        <v>186</v>
      </c>
      <c r="BS90" s="3" t="s">
        <v>186</v>
      </c>
      <c r="BT90" s="3" t="s">
        <v>186</v>
      </c>
      <c r="BU90" s="3" t="s">
        <v>186</v>
      </c>
      <c r="BV90" s="3" t="s">
        <v>186</v>
      </c>
      <c r="BW90" s="3" t="s">
        <v>186</v>
      </c>
      <c r="BX90" s="21" t="s">
        <v>417</v>
      </c>
      <c r="BY90" s="3" t="str">
        <f t="shared" si="5"/>
        <v>Och-A_RedoLibraries</v>
      </c>
      <c r="BZ90" s="3" t="str">
        <f t="shared" si="6"/>
        <v>A8</v>
      </c>
      <c r="CA90" s="3" t="str">
        <f t="shared" si="7"/>
        <v>Och-A</v>
      </c>
      <c r="CC90" s="3">
        <v>1.5</v>
      </c>
      <c r="CD90" t="s">
        <v>464</v>
      </c>
      <c r="CE90" s="21" t="str">
        <f t="shared" si="8"/>
        <v>OcA0100808A</v>
      </c>
      <c r="CF90" s="21" t="str">
        <f t="shared" si="9"/>
        <v>Och-ACat_008-Ex1-8A-lcwgs-2-1</v>
      </c>
      <c r="CG90" s="3">
        <f t="shared" si="10"/>
        <v>1.5</v>
      </c>
      <c r="CH90">
        <v>1070220</v>
      </c>
      <c r="CI90">
        <v>772704</v>
      </c>
      <c r="CJ90" s="27" t="s">
        <v>79</v>
      </c>
      <c r="CK90" s="3">
        <v>0.99930832310232276</v>
      </c>
      <c r="CL90" t="s">
        <v>1198</v>
      </c>
      <c r="CM90" s="33" t="s">
        <v>1628</v>
      </c>
      <c r="CN90" s="3" t="str">
        <f>B90&amp;"-"&amp;Z90&amp;AA90&amp;"-lcwgs-"&amp;C90&amp;"-2"</f>
        <v>Och-ACat_008-Ex1-8A-lcwgs-2-2</v>
      </c>
      <c r="CR90"/>
    </row>
    <row r="91" spans="1:96" x14ac:dyDescent="0.55000000000000004">
      <c r="A91" t="s">
        <v>251</v>
      </c>
      <c r="B91" t="s">
        <v>754</v>
      </c>
      <c r="C91" s="3">
        <v>2</v>
      </c>
      <c r="E91" t="s">
        <v>198</v>
      </c>
      <c r="F91">
        <v>2</v>
      </c>
      <c r="G91" t="s">
        <v>250</v>
      </c>
      <c r="H91">
        <v>15.542944709560638</v>
      </c>
      <c r="I91" s="3" t="s">
        <v>74</v>
      </c>
      <c r="J91" s="3">
        <v>0.2</v>
      </c>
      <c r="K91" s="3">
        <v>7.25</v>
      </c>
      <c r="L91" s="3">
        <v>0.25</v>
      </c>
      <c r="O91" s="3">
        <v>200</v>
      </c>
      <c r="P91" s="3">
        <v>12.867574564360238</v>
      </c>
      <c r="R91" s="3">
        <v>10</v>
      </c>
      <c r="S91" s="4">
        <v>45141</v>
      </c>
      <c r="T91" s="3" t="s">
        <v>282</v>
      </c>
      <c r="U91" s="3" t="s">
        <v>412</v>
      </c>
      <c r="V91" s="11" t="s">
        <v>100</v>
      </c>
      <c r="W91" s="11">
        <v>3</v>
      </c>
      <c r="X91" s="11" t="s">
        <v>107</v>
      </c>
      <c r="Y91" s="11">
        <v>3</v>
      </c>
      <c r="Z91">
        <v>2</v>
      </c>
      <c r="AA91" t="s">
        <v>87</v>
      </c>
      <c r="AB91" t="s">
        <v>413</v>
      </c>
      <c r="AC91" s="3" t="s">
        <v>78</v>
      </c>
      <c r="AD91" s="3">
        <v>2</v>
      </c>
      <c r="AE91">
        <v>2</v>
      </c>
      <c r="AF91" t="s">
        <v>250</v>
      </c>
      <c r="AG91" t="s">
        <v>646</v>
      </c>
      <c r="AH91" s="17" t="s">
        <v>647</v>
      </c>
      <c r="AI91" t="s">
        <v>618</v>
      </c>
      <c r="AJ91" s="18" t="s">
        <v>619</v>
      </c>
      <c r="AO91" s="10">
        <v>1.1049709999999999</v>
      </c>
      <c r="AP91" s="3">
        <v>37</v>
      </c>
      <c r="AQ91" s="3">
        <f t="shared" si="3"/>
        <v>40.883927</v>
      </c>
      <c r="BE91" s="3" t="s">
        <v>79</v>
      </c>
      <c r="BF91" s="3" t="s">
        <v>415</v>
      </c>
      <c r="BG91" s="3" t="s">
        <v>416</v>
      </c>
      <c r="BH91" s="3">
        <v>1</v>
      </c>
      <c r="BI91" s="3" t="str">
        <f>AA91&amp;Z91</f>
        <v>E2</v>
      </c>
      <c r="BJ91" s="3">
        <v>1</v>
      </c>
      <c r="BK91" s="3" t="str">
        <f>BR91&amp;BQ91</f>
        <v>F4</v>
      </c>
      <c r="BL91" s="10">
        <v>1.5</v>
      </c>
      <c r="BM91" s="3">
        <v>0.4</v>
      </c>
      <c r="BN91" s="3">
        <f>AO91*BL91/BM91</f>
        <v>4.1436412499999991</v>
      </c>
      <c r="BO91" s="3">
        <f>BN91-BL91</f>
        <v>2.6436412499999991</v>
      </c>
      <c r="BP91" s="3" t="s">
        <v>420</v>
      </c>
      <c r="BQ91">
        <v>4</v>
      </c>
      <c r="BR91" t="s">
        <v>88</v>
      </c>
      <c r="BS91" s="3">
        <v>1</v>
      </c>
      <c r="BT91" s="3" t="s">
        <v>418</v>
      </c>
      <c r="BU91" s="3">
        <v>1</v>
      </c>
      <c r="BV91" s="3" t="str">
        <f>BR91&amp;BQ91</f>
        <v>F4</v>
      </c>
      <c r="BW91" s="3">
        <f>BO91</f>
        <v>2.6436412499999991</v>
      </c>
      <c r="BX91" s="21" t="s">
        <v>417</v>
      </c>
      <c r="BY91" s="3" t="str">
        <f t="shared" si="5"/>
        <v>Och-Mixed_Dilution Plate</v>
      </c>
      <c r="BZ91" s="3" t="str">
        <f t="shared" si="6"/>
        <v>F4</v>
      </c>
      <c r="CA91" s="3" t="str">
        <f t="shared" si="7"/>
        <v>Och-A</v>
      </c>
      <c r="CC91" s="3">
        <v>1.5</v>
      </c>
      <c r="CD91" t="s">
        <v>471</v>
      </c>
      <c r="CE91" s="21" t="str">
        <f t="shared" si="8"/>
        <v>OcA0100902E</v>
      </c>
      <c r="CF91" s="21" t="str">
        <f t="shared" si="9"/>
        <v>Och-ATum_009-Ex1-2E-lcwgs-2-1</v>
      </c>
      <c r="CG91" s="3">
        <f t="shared" si="10"/>
        <v>0.54300067603584179</v>
      </c>
      <c r="CH91">
        <v>4467586</v>
      </c>
      <c r="CI91">
        <v>3136744</v>
      </c>
      <c r="CJ91" t="s">
        <v>79</v>
      </c>
      <c r="CK91" s="3">
        <v>0.10911692817915475</v>
      </c>
      <c r="CL91" t="s">
        <v>1200</v>
      </c>
      <c r="CM91" s="33" t="s">
        <v>1631</v>
      </c>
      <c r="CN91" s="3" t="str">
        <f>B91&amp;"-"&amp;Z91&amp;AA91&amp;"-lcwgs-"&amp;C91&amp;"-2"</f>
        <v>Och-ATum_009-Ex1-2E-lcwgs-2-2</v>
      </c>
      <c r="CR91"/>
    </row>
    <row r="92" spans="1:96" x14ac:dyDescent="0.55000000000000004">
      <c r="A92" t="s">
        <v>209</v>
      </c>
      <c r="B92" t="s">
        <v>781</v>
      </c>
      <c r="C92" s="3">
        <v>1</v>
      </c>
      <c r="E92" t="s">
        <v>198</v>
      </c>
      <c r="F92">
        <v>9</v>
      </c>
      <c r="G92" t="s">
        <v>73</v>
      </c>
      <c r="H92" s="3">
        <v>6.7345688662168826</v>
      </c>
      <c r="I92" s="3" t="s">
        <v>74</v>
      </c>
      <c r="J92" s="3">
        <v>0.2</v>
      </c>
      <c r="K92" s="3">
        <v>7.25</v>
      </c>
      <c r="L92" s="3">
        <v>0.25</v>
      </c>
      <c r="O92" s="3">
        <v>100</v>
      </c>
      <c r="P92" s="3">
        <v>14.848760475468209</v>
      </c>
      <c r="R92" s="3">
        <v>10</v>
      </c>
      <c r="S92" s="4">
        <v>44945</v>
      </c>
      <c r="T92" s="3" t="s">
        <v>199</v>
      </c>
      <c r="U92" s="3" t="s">
        <v>200</v>
      </c>
      <c r="V92">
        <v>7</v>
      </c>
      <c r="W92" t="s">
        <v>83</v>
      </c>
      <c r="X92">
        <v>8</v>
      </c>
      <c r="Y92" t="s">
        <v>83</v>
      </c>
      <c r="Z92">
        <v>4</v>
      </c>
      <c r="AA92" t="s">
        <v>83</v>
      </c>
      <c r="AB92" t="s">
        <v>201</v>
      </c>
      <c r="AC92" s="3" t="s">
        <v>78</v>
      </c>
      <c r="AD92" s="3">
        <v>5</v>
      </c>
      <c r="AE92">
        <v>4</v>
      </c>
      <c r="AF92" t="s">
        <v>83</v>
      </c>
      <c r="AG92" t="s">
        <v>682</v>
      </c>
      <c r="AH92" s="17" t="s">
        <v>683</v>
      </c>
      <c r="AI92" t="s">
        <v>698</v>
      </c>
      <c r="AJ92" s="18" t="s">
        <v>699</v>
      </c>
      <c r="AO92" s="3">
        <v>8.6343756833588442E-2</v>
      </c>
      <c r="AP92" s="3">
        <v>37</v>
      </c>
      <c r="AQ92" s="3">
        <f t="shared" si="3"/>
        <v>3.1947190028427723</v>
      </c>
      <c r="BE92" s="3" t="s">
        <v>79</v>
      </c>
      <c r="BF92" s="3" t="s">
        <v>415</v>
      </c>
      <c r="BG92" s="3" t="s">
        <v>186</v>
      </c>
      <c r="BH92" s="3" t="s">
        <v>186</v>
      </c>
      <c r="BI92" s="3" t="s">
        <v>186</v>
      </c>
      <c r="BJ92" s="3" t="s">
        <v>186</v>
      </c>
      <c r="BK92" s="3" t="s">
        <v>186</v>
      </c>
      <c r="BL92" s="3" t="s">
        <v>186</v>
      </c>
      <c r="BM92" s="3" t="s">
        <v>186</v>
      </c>
      <c r="BN92" s="3" t="s">
        <v>186</v>
      </c>
      <c r="BO92" s="3" t="s">
        <v>186</v>
      </c>
      <c r="BP92" s="3" t="s">
        <v>186</v>
      </c>
      <c r="BQ92" s="3" t="s">
        <v>186</v>
      </c>
      <c r="BR92" s="3" t="s">
        <v>186</v>
      </c>
      <c r="BS92" s="3" t="s">
        <v>186</v>
      </c>
      <c r="BT92" s="3" t="s">
        <v>186</v>
      </c>
      <c r="BU92" s="3" t="s">
        <v>186</v>
      </c>
      <c r="BV92" s="3" t="s">
        <v>186</v>
      </c>
      <c r="BW92" s="3" t="s">
        <v>186</v>
      </c>
      <c r="BX92" s="21" t="s">
        <v>417</v>
      </c>
      <c r="BY92" s="3" t="str">
        <f t="shared" si="5"/>
        <v>PIRE-A_LibrariesforCapture_Jan2023-2</v>
      </c>
      <c r="BZ92" s="3" t="str">
        <f t="shared" si="6"/>
        <v>C4</v>
      </c>
      <c r="CA92" s="3" t="str">
        <f t="shared" si="7"/>
        <v>Och-A</v>
      </c>
      <c r="CC92" s="3">
        <v>1.5</v>
      </c>
      <c r="CD92" t="s">
        <v>471</v>
      </c>
      <c r="CE92" s="21" t="str">
        <f t="shared" si="8"/>
        <v>OcA0100904C</v>
      </c>
      <c r="CF92" s="21" t="str">
        <f t="shared" si="9"/>
        <v>Och-ACat_009-Ex1-4C-lcwgs-1-1</v>
      </c>
      <c r="CG92" s="3">
        <f t="shared" si="10"/>
        <v>1.5</v>
      </c>
      <c r="CH92">
        <v>16118</v>
      </c>
      <c r="CI92">
        <v>12192</v>
      </c>
      <c r="CJ92" s="27" t="s">
        <v>185</v>
      </c>
      <c r="CK92" s="3">
        <v>0</v>
      </c>
      <c r="CL92"/>
      <c r="CM92" s="33"/>
    </row>
    <row r="93" spans="1:96" x14ac:dyDescent="0.55000000000000004">
      <c r="A93" t="s">
        <v>209</v>
      </c>
      <c r="B93" t="s">
        <v>781</v>
      </c>
      <c r="C93" s="3">
        <v>2</v>
      </c>
      <c r="E93" t="s">
        <v>198</v>
      </c>
      <c r="F93">
        <v>9</v>
      </c>
      <c r="G93" t="s">
        <v>73</v>
      </c>
      <c r="H93">
        <v>6.7345688662168826</v>
      </c>
      <c r="I93" s="3" t="s">
        <v>74</v>
      </c>
      <c r="J93" s="3">
        <v>0.2</v>
      </c>
      <c r="K93" s="3">
        <v>7.25</v>
      </c>
      <c r="L93" s="3">
        <v>0.25</v>
      </c>
      <c r="O93" s="3">
        <v>200</v>
      </c>
      <c r="P93" s="3">
        <v>29.697520950936418</v>
      </c>
      <c r="R93" s="3">
        <v>10</v>
      </c>
      <c r="S93" s="4">
        <v>45141</v>
      </c>
      <c r="T93" s="3" t="s">
        <v>282</v>
      </c>
      <c r="U93" s="3" t="s">
        <v>412</v>
      </c>
      <c r="V93" s="11" t="s">
        <v>96</v>
      </c>
      <c r="W93" s="11">
        <v>17</v>
      </c>
      <c r="X93" s="11" t="s">
        <v>103</v>
      </c>
      <c r="Y93" s="11">
        <v>17</v>
      </c>
      <c r="Z93">
        <v>9</v>
      </c>
      <c r="AA93" t="s">
        <v>73</v>
      </c>
      <c r="AB93" t="s">
        <v>413</v>
      </c>
      <c r="AC93" s="3" t="s">
        <v>78</v>
      </c>
      <c r="AD93" s="3">
        <v>2</v>
      </c>
      <c r="AE93">
        <v>9</v>
      </c>
      <c r="AF93" t="s">
        <v>73</v>
      </c>
      <c r="AG93" t="s">
        <v>614</v>
      </c>
      <c r="AH93" s="17" t="s">
        <v>615</v>
      </c>
      <c r="AI93" t="s">
        <v>632</v>
      </c>
      <c r="AJ93" s="18" t="s">
        <v>633</v>
      </c>
      <c r="AO93" s="10">
        <v>0.21213899999999999</v>
      </c>
      <c r="AP93" s="3">
        <v>37</v>
      </c>
      <c r="AQ93" s="3">
        <f t="shared" si="3"/>
        <v>7.8491429999999998</v>
      </c>
      <c r="BE93" s="3" t="s">
        <v>79</v>
      </c>
      <c r="BF93" s="3" t="s">
        <v>415</v>
      </c>
      <c r="BG93" s="3" t="s">
        <v>186</v>
      </c>
      <c r="BH93" s="3" t="s">
        <v>186</v>
      </c>
      <c r="BI93" s="3" t="s">
        <v>186</v>
      </c>
      <c r="BJ93" s="3" t="s">
        <v>186</v>
      </c>
      <c r="BK93" s="3" t="s">
        <v>186</v>
      </c>
      <c r="BL93" s="3" t="s">
        <v>186</v>
      </c>
      <c r="BM93" s="3" t="s">
        <v>186</v>
      </c>
      <c r="BN93" s="3" t="s">
        <v>186</v>
      </c>
      <c r="BO93" s="3" t="s">
        <v>186</v>
      </c>
      <c r="BP93" s="3" t="s">
        <v>186</v>
      </c>
      <c r="BQ93" s="3" t="s">
        <v>186</v>
      </c>
      <c r="BR93" s="3" t="s">
        <v>186</v>
      </c>
      <c r="BS93" s="3" t="s">
        <v>186</v>
      </c>
      <c r="BT93" s="3" t="s">
        <v>186</v>
      </c>
      <c r="BU93" s="3" t="s">
        <v>186</v>
      </c>
      <c r="BV93" s="3" t="s">
        <v>186</v>
      </c>
      <c r="BW93" s="3" t="s">
        <v>186</v>
      </c>
      <c r="BX93" s="21" t="s">
        <v>417</v>
      </c>
      <c r="BY93" s="3" t="str">
        <f t="shared" si="5"/>
        <v>Och-A_RedoLibraries</v>
      </c>
      <c r="BZ93" s="3" t="str">
        <f t="shared" si="6"/>
        <v>A9</v>
      </c>
      <c r="CA93" s="3" t="str">
        <f t="shared" si="7"/>
        <v>Och-A</v>
      </c>
      <c r="CC93" s="3">
        <v>1.5</v>
      </c>
      <c r="CD93" t="s">
        <v>471</v>
      </c>
      <c r="CE93" s="21" t="str">
        <f t="shared" si="8"/>
        <v>OcA0100909A</v>
      </c>
      <c r="CF93" s="21" t="str">
        <f t="shared" si="9"/>
        <v>Och-ACat_009-Ex1-9A-lcwgs-2-1</v>
      </c>
      <c r="CG93" s="3">
        <f t="shared" si="10"/>
        <v>1.5</v>
      </c>
      <c r="CH93">
        <v>514000</v>
      </c>
      <c r="CI93">
        <v>355998</v>
      </c>
      <c r="CJ93" s="27" t="s">
        <v>79</v>
      </c>
      <c r="CK93" s="3">
        <v>2.1863791382293987</v>
      </c>
      <c r="CL93" t="s">
        <v>1198</v>
      </c>
      <c r="CM93" s="33" t="s">
        <v>1630</v>
      </c>
      <c r="CN93" s="3" t="str">
        <f t="shared" ref="CN93:CN104" si="12">B93&amp;"-"&amp;Z93&amp;AA93&amp;"-lcwgs-"&amp;C93&amp;"-2"</f>
        <v>Och-ACat_009-Ex1-9A-lcwgs-2-2</v>
      </c>
      <c r="CR93"/>
    </row>
    <row r="94" spans="1:96" x14ac:dyDescent="0.55000000000000004">
      <c r="A94" t="s">
        <v>252</v>
      </c>
      <c r="B94" t="s">
        <v>755</v>
      </c>
      <c r="C94" s="3">
        <v>2</v>
      </c>
      <c r="E94" t="s">
        <v>198</v>
      </c>
      <c r="F94">
        <v>3</v>
      </c>
      <c r="G94" t="s">
        <v>250</v>
      </c>
      <c r="H94">
        <v>21.980668915583351</v>
      </c>
      <c r="I94" s="3" t="s">
        <v>74</v>
      </c>
      <c r="J94" s="3">
        <v>0.2</v>
      </c>
      <c r="K94" s="3">
        <v>7.25</v>
      </c>
      <c r="L94" s="3">
        <v>0.25</v>
      </c>
      <c r="O94" s="3">
        <v>200</v>
      </c>
      <c r="P94" s="3">
        <v>9.0989041674800255</v>
      </c>
      <c r="R94" s="3">
        <v>10</v>
      </c>
      <c r="S94" s="4">
        <v>45141</v>
      </c>
      <c r="T94" s="3" t="s">
        <v>282</v>
      </c>
      <c r="U94" s="3" t="s">
        <v>412</v>
      </c>
      <c r="V94" s="11" t="s">
        <v>100</v>
      </c>
      <c r="W94" s="11">
        <v>5</v>
      </c>
      <c r="X94" s="11" t="s">
        <v>107</v>
      </c>
      <c r="Y94" s="11">
        <v>5</v>
      </c>
      <c r="Z94">
        <v>3</v>
      </c>
      <c r="AA94" t="s">
        <v>87</v>
      </c>
      <c r="AB94" t="s">
        <v>413</v>
      </c>
      <c r="AC94" s="3" t="s">
        <v>78</v>
      </c>
      <c r="AD94" s="3">
        <v>2</v>
      </c>
      <c r="AE94">
        <v>3</v>
      </c>
      <c r="AF94" t="s">
        <v>250</v>
      </c>
      <c r="AG94" t="s">
        <v>646</v>
      </c>
      <c r="AH94" s="17" t="s">
        <v>647</v>
      </c>
      <c r="AI94" t="s">
        <v>620</v>
      </c>
      <c r="AJ94" s="18" t="s">
        <v>621</v>
      </c>
      <c r="AO94" s="10">
        <v>0.38463700000000001</v>
      </c>
      <c r="AP94" s="3">
        <v>37</v>
      </c>
      <c r="AQ94" s="3">
        <f t="shared" si="3"/>
        <v>14.231569</v>
      </c>
      <c r="BE94" s="3" t="s">
        <v>79</v>
      </c>
      <c r="BF94" s="3" t="s">
        <v>415</v>
      </c>
      <c r="BG94" s="3" t="s">
        <v>186</v>
      </c>
      <c r="BH94" s="3" t="s">
        <v>186</v>
      </c>
      <c r="BI94" s="3" t="s">
        <v>186</v>
      </c>
      <c r="BJ94" s="3" t="s">
        <v>186</v>
      </c>
      <c r="BK94" s="3" t="s">
        <v>186</v>
      </c>
      <c r="BL94" s="3" t="s">
        <v>186</v>
      </c>
      <c r="BM94" s="3" t="s">
        <v>186</v>
      </c>
      <c r="BN94" s="3" t="s">
        <v>186</v>
      </c>
      <c r="BO94" s="3" t="s">
        <v>186</v>
      </c>
      <c r="BP94" s="3" t="s">
        <v>186</v>
      </c>
      <c r="BQ94" s="3" t="s">
        <v>186</v>
      </c>
      <c r="BR94" s="3" t="s">
        <v>186</v>
      </c>
      <c r="BS94" s="3" t="s">
        <v>186</v>
      </c>
      <c r="BT94" s="3" t="s">
        <v>186</v>
      </c>
      <c r="BU94" s="3" t="s">
        <v>186</v>
      </c>
      <c r="BV94" s="3" t="s">
        <v>186</v>
      </c>
      <c r="BW94" s="3" t="s">
        <v>186</v>
      </c>
      <c r="BX94" s="21" t="s">
        <v>417</v>
      </c>
      <c r="BY94" s="3" t="str">
        <f t="shared" si="5"/>
        <v>Och-A_RedoLibraries</v>
      </c>
      <c r="BZ94" s="3" t="str">
        <f t="shared" si="6"/>
        <v>E3</v>
      </c>
      <c r="CA94" s="3" t="str">
        <f t="shared" si="7"/>
        <v>Och-A</v>
      </c>
      <c r="CC94" s="3">
        <v>1.5</v>
      </c>
      <c r="CD94" t="s">
        <v>478</v>
      </c>
      <c r="CE94" s="21" t="str">
        <f t="shared" si="8"/>
        <v>OcA0101003E</v>
      </c>
      <c r="CF94" s="21" t="str">
        <f t="shared" si="9"/>
        <v>Och-ATum_010-Ex1-3E-lcwgs-2-1</v>
      </c>
      <c r="CG94" s="3">
        <f t="shared" si="10"/>
        <v>1.5</v>
      </c>
      <c r="CH94">
        <v>615878</v>
      </c>
      <c r="CI94">
        <v>455083</v>
      </c>
      <c r="CJ94" t="s">
        <v>79</v>
      </c>
      <c r="CK94" s="3">
        <v>2.2050293835734087</v>
      </c>
      <c r="CL94" t="s">
        <v>1200</v>
      </c>
      <c r="CM94" s="33" t="s">
        <v>1633</v>
      </c>
      <c r="CN94" s="3" t="str">
        <f t="shared" si="12"/>
        <v>Och-ATum_010-Ex1-3E-lcwgs-2-2</v>
      </c>
      <c r="CR94"/>
    </row>
    <row r="95" spans="1:96" x14ac:dyDescent="0.55000000000000004">
      <c r="A95" t="s">
        <v>210</v>
      </c>
      <c r="B95" t="s">
        <v>717</v>
      </c>
      <c r="C95" s="3">
        <v>2</v>
      </c>
      <c r="E95" t="s">
        <v>198</v>
      </c>
      <c r="F95">
        <v>10</v>
      </c>
      <c r="G95" t="s">
        <v>73</v>
      </c>
      <c r="H95">
        <v>11.295812078328122</v>
      </c>
      <c r="I95" s="3" t="s">
        <v>74</v>
      </c>
      <c r="J95" s="3">
        <v>0.2</v>
      </c>
      <c r="K95" s="3">
        <v>7.25</v>
      </c>
      <c r="L95" s="3">
        <v>0.25</v>
      </c>
      <c r="O95" s="3">
        <v>200</v>
      </c>
      <c r="P95" s="3">
        <v>17.705676990122317</v>
      </c>
      <c r="R95" s="3">
        <v>10</v>
      </c>
      <c r="S95" s="4">
        <v>45141</v>
      </c>
      <c r="T95" s="3" t="s">
        <v>282</v>
      </c>
      <c r="U95" s="3" t="s">
        <v>412</v>
      </c>
      <c r="V95" s="11" t="s">
        <v>96</v>
      </c>
      <c r="W95" s="11">
        <v>19</v>
      </c>
      <c r="X95" s="11" t="s">
        <v>103</v>
      </c>
      <c r="Y95" s="11">
        <v>19</v>
      </c>
      <c r="Z95">
        <v>10</v>
      </c>
      <c r="AA95" t="s">
        <v>73</v>
      </c>
      <c r="AB95" t="s">
        <v>413</v>
      </c>
      <c r="AC95" s="3" t="s">
        <v>78</v>
      </c>
      <c r="AD95" s="3">
        <v>2</v>
      </c>
      <c r="AE95">
        <v>10</v>
      </c>
      <c r="AF95" t="s">
        <v>73</v>
      </c>
      <c r="AG95" t="s">
        <v>614</v>
      </c>
      <c r="AH95" s="17" t="s">
        <v>615</v>
      </c>
      <c r="AI95" t="s">
        <v>634</v>
      </c>
      <c r="AJ95" s="18" t="s">
        <v>635</v>
      </c>
      <c r="AO95" s="10">
        <v>0.36710900000000002</v>
      </c>
      <c r="AP95" s="3">
        <v>37</v>
      </c>
      <c r="AQ95" s="3">
        <f t="shared" si="3"/>
        <v>13.583033</v>
      </c>
      <c r="BE95" s="3" t="s">
        <v>79</v>
      </c>
      <c r="BF95" s="3" t="s">
        <v>415</v>
      </c>
      <c r="BG95" s="3" t="s">
        <v>186</v>
      </c>
      <c r="BH95" s="3" t="s">
        <v>186</v>
      </c>
      <c r="BI95" s="3" t="s">
        <v>186</v>
      </c>
      <c r="BJ95" s="3" t="s">
        <v>186</v>
      </c>
      <c r="BK95" s="3" t="s">
        <v>186</v>
      </c>
      <c r="BL95" s="3" t="s">
        <v>186</v>
      </c>
      <c r="BM95" s="3" t="s">
        <v>186</v>
      </c>
      <c r="BN95" s="3" t="s">
        <v>186</v>
      </c>
      <c r="BO95" s="3" t="s">
        <v>186</v>
      </c>
      <c r="BP95" s="3" t="s">
        <v>186</v>
      </c>
      <c r="BQ95" s="3" t="s">
        <v>186</v>
      </c>
      <c r="BR95" s="3" t="s">
        <v>186</v>
      </c>
      <c r="BS95" s="3" t="s">
        <v>186</v>
      </c>
      <c r="BT95" s="3" t="s">
        <v>186</v>
      </c>
      <c r="BU95" s="3" t="s">
        <v>186</v>
      </c>
      <c r="BV95" s="3" t="s">
        <v>186</v>
      </c>
      <c r="BW95" s="3" t="s">
        <v>186</v>
      </c>
      <c r="BX95" s="21" t="s">
        <v>417</v>
      </c>
      <c r="BY95" s="3" t="str">
        <f t="shared" si="5"/>
        <v>Och-A_RedoLibraries</v>
      </c>
      <c r="BZ95" s="3" t="str">
        <f t="shared" si="6"/>
        <v>A10</v>
      </c>
      <c r="CA95" s="3" t="str">
        <f t="shared" si="7"/>
        <v>Och-A</v>
      </c>
      <c r="CC95" s="3">
        <v>1.5</v>
      </c>
      <c r="CD95" t="s">
        <v>478</v>
      </c>
      <c r="CE95" s="21" t="str">
        <f t="shared" si="8"/>
        <v>OcA0101010A</v>
      </c>
      <c r="CF95" s="21" t="str">
        <f t="shared" si="9"/>
        <v>Och-ACat_010-Ex1-10A-lcwgs-2-1</v>
      </c>
      <c r="CG95" s="3">
        <f t="shared" si="10"/>
        <v>1.5</v>
      </c>
      <c r="CH95">
        <v>179147</v>
      </c>
      <c r="CI95">
        <v>134472</v>
      </c>
      <c r="CJ95" s="27" t="s">
        <v>79</v>
      </c>
      <c r="CK95" s="3">
        <v>5.8125885094702996</v>
      </c>
      <c r="CL95" t="s">
        <v>1198</v>
      </c>
      <c r="CM95" s="33" t="s">
        <v>1632</v>
      </c>
      <c r="CN95" s="3" t="str">
        <f t="shared" si="12"/>
        <v>Och-ACat_010-Ex1-10A-lcwgs-2-2</v>
      </c>
      <c r="CR95"/>
    </row>
    <row r="96" spans="1:96" x14ac:dyDescent="0.55000000000000004">
      <c r="A96" t="s">
        <v>253</v>
      </c>
      <c r="B96" t="s">
        <v>756</v>
      </c>
      <c r="C96" s="3">
        <v>2</v>
      </c>
      <c r="E96" t="s">
        <v>198</v>
      </c>
      <c r="F96">
        <v>4</v>
      </c>
      <c r="G96" t="s">
        <v>250</v>
      </c>
      <c r="H96">
        <v>26.086559980253412</v>
      </c>
      <c r="I96" s="3" t="s">
        <v>74</v>
      </c>
      <c r="J96" s="3">
        <v>0.2</v>
      </c>
      <c r="K96" s="3">
        <v>7.25</v>
      </c>
      <c r="L96" s="3">
        <v>0.25</v>
      </c>
      <c r="O96" s="3">
        <v>200</v>
      </c>
      <c r="P96" s="3">
        <v>7.666783207574813</v>
      </c>
      <c r="R96" s="3">
        <v>10</v>
      </c>
      <c r="S96" s="4">
        <v>45141</v>
      </c>
      <c r="T96" s="3" t="s">
        <v>282</v>
      </c>
      <c r="U96" s="3" t="s">
        <v>412</v>
      </c>
      <c r="V96" s="11" t="s">
        <v>100</v>
      </c>
      <c r="W96" s="11">
        <v>7</v>
      </c>
      <c r="X96" s="11" t="s">
        <v>107</v>
      </c>
      <c r="Y96" s="11">
        <v>7</v>
      </c>
      <c r="Z96">
        <v>4</v>
      </c>
      <c r="AA96" t="s">
        <v>87</v>
      </c>
      <c r="AB96" t="s">
        <v>413</v>
      </c>
      <c r="AC96" s="3" t="s">
        <v>78</v>
      </c>
      <c r="AD96" s="3">
        <v>2</v>
      </c>
      <c r="AE96">
        <v>4</v>
      </c>
      <c r="AF96" t="s">
        <v>250</v>
      </c>
      <c r="AG96" t="s">
        <v>646</v>
      </c>
      <c r="AH96" s="17" t="s">
        <v>647</v>
      </c>
      <c r="AI96" t="s">
        <v>622</v>
      </c>
      <c r="AJ96" s="18" t="s">
        <v>623</v>
      </c>
      <c r="AO96" s="10">
        <v>0.60856600000000005</v>
      </c>
      <c r="AP96" s="3">
        <v>37</v>
      </c>
      <c r="AQ96" s="3">
        <f t="shared" si="3"/>
        <v>22.516942</v>
      </c>
      <c r="BE96" s="3" t="s">
        <v>79</v>
      </c>
      <c r="BF96" s="3" t="s">
        <v>415</v>
      </c>
      <c r="BG96" s="3" t="s">
        <v>416</v>
      </c>
      <c r="BH96" s="3">
        <v>1</v>
      </c>
      <c r="BI96" s="3" t="str">
        <f t="shared" ref="BI96:BI103" si="13">AA96&amp;Z96</f>
        <v>E4</v>
      </c>
      <c r="BJ96" s="3">
        <v>1</v>
      </c>
      <c r="BK96" s="3" t="str">
        <f t="shared" ref="BK96:BK103" si="14">BR96&amp;BQ96</f>
        <v>H1</v>
      </c>
      <c r="BL96" s="10">
        <v>1.5</v>
      </c>
      <c r="BM96" s="3">
        <v>0.4</v>
      </c>
      <c r="BN96" s="3">
        <f t="shared" ref="BN96:BN103" si="15">AO96*BL96/BM96</f>
        <v>2.2821224999999998</v>
      </c>
      <c r="BO96" s="3">
        <f t="shared" ref="BO96:BO103" si="16">BN96-BL96</f>
        <v>0.78212249999999983</v>
      </c>
      <c r="BP96" s="3" t="s">
        <v>420</v>
      </c>
      <c r="BQ96">
        <v>1</v>
      </c>
      <c r="BR96" t="s">
        <v>92</v>
      </c>
      <c r="BS96" s="3">
        <v>1</v>
      </c>
      <c r="BT96" s="3" t="s">
        <v>418</v>
      </c>
      <c r="BU96" s="3">
        <v>1</v>
      </c>
      <c r="BV96" s="3" t="str">
        <f t="shared" ref="BV96:BV103" si="17">BR96&amp;BQ96</f>
        <v>H1</v>
      </c>
      <c r="BW96" s="3">
        <f t="shared" ref="BW96:BW103" si="18">BO96</f>
        <v>0.78212249999999983</v>
      </c>
      <c r="BX96" s="21" t="s">
        <v>417</v>
      </c>
      <c r="BY96" s="3" t="str">
        <f t="shared" si="5"/>
        <v>Och-Mixed_Dilution Plate</v>
      </c>
      <c r="BZ96" s="3" t="str">
        <f t="shared" si="6"/>
        <v>H1</v>
      </c>
      <c r="CA96" s="3" t="str">
        <f t="shared" si="7"/>
        <v>Och-A</v>
      </c>
      <c r="CC96" s="3">
        <v>1.5</v>
      </c>
      <c r="CD96" t="s">
        <v>485</v>
      </c>
      <c r="CE96" s="21" t="str">
        <f t="shared" si="8"/>
        <v>OcA0101104E</v>
      </c>
      <c r="CF96" s="21" t="str">
        <f t="shared" si="9"/>
        <v>Och-ATum_011-Ex1-4E-lcwgs-2-1</v>
      </c>
      <c r="CG96" s="3">
        <f t="shared" si="10"/>
        <v>0.98592428758754203</v>
      </c>
      <c r="CH96">
        <v>388760</v>
      </c>
      <c r="CI96">
        <v>295705</v>
      </c>
      <c r="CJ96" t="s">
        <v>79</v>
      </c>
      <c r="CK96" s="3">
        <v>2.2381396608212465</v>
      </c>
      <c r="CL96" t="s">
        <v>1200</v>
      </c>
      <c r="CM96" s="33" t="s">
        <v>1635</v>
      </c>
      <c r="CN96" s="3" t="str">
        <f t="shared" si="12"/>
        <v>Och-ATum_011-Ex1-4E-lcwgs-2-2</v>
      </c>
      <c r="CR96"/>
    </row>
    <row r="97" spans="1:96" x14ac:dyDescent="0.55000000000000004">
      <c r="A97" t="s">
        <v>211</v>
      </c>
      <c r="B97" t="s">
        <v>718</v>
      </c>
      <c r="C97" s="3">
        <v>2</v>
      </c>
      <c r="E97" t="s">
        <v>198</v>
      </c>
      <c r="F97">
        <v>11</v>
      </c>
      <c r="G97" t="s">
        <v>73</v>
      </c>
      <c r="H97">
        <v>7.2464003620207338</v>
      </c>
      <c r="I97" s="3" t="s">
        <v>74</v>
      </c>
      <c r="J97" s="3">
        <v>0.2</v>
      </c>
      <c r="K97" s="3">
        <v>7.25</v>
      </c>
      <c r="L97" s="3">
        <v>0.25</v>
      </c>
      <c r="O97" s="3">
        <v>200</v>
      </c>
      <c r="P97" s="3">
        <v>27.599910301426945</v>
      </c>
      <c r="R97" s="3">
        <v>10</v>
      </c>
      <c r="S97" s="4">
        <v>45141</v>
      </c>
      <c r="T97" s="3" t="s">
        <v>282</v>
      </c>
      <c r="U97" s="3" t="s">
        <v>412</v>
      </c>
      <c r="V97" s="11" t="s">
        <v>96</v>
      </c>
      <c r="W97" s="11">
        <v>21</v>
      </c>
      <c r="X97" s="11" t="s">
        <v>103</v>
      </c>
      <c r="Y97" s="11">
        <v>21</v>
      </c>
      <c r="Z97">
        <v>11</v>
      </c>
      <c r="AA97" t="s">
        <v>73</v>
      </c>
      <c r="AB97" t="s">
        <v>413</v>
      </c>
      <c r="AC97" s="3" t="s">
        <v>78</v>
      </c>
      <c r="AD97" s="3">
        <v>2</v>
      </c>
      <c r="AE97">
        <v>11</v>
      </c>
      <c r="AF97" t="s">
        <v>73</v>
      </c>
      <c r="AG97" t="s">
        <v>614</v>
      </c>
      <c r="AH97" s="17" t="s">
        <v>615</v>
      </c>
      <c r="AI97" t="s">
        <v>636</v>
      </c>
      <c r="AJ97" s="18" t="s">
        <v>637</v>
      </c>
      <c r="AO97" s="10">
        <v>0.87495599999999996</v>
      </c>
      <c r="AP97" s="3">
        <v>37</v>
      </c>
      <c r="AQ97" s="3">
        <f t="shared" si="3"/>
        <v>32.373371999999996</v>
      </c>
      <c r="BE97" s="3" t="s">
        <v>79</v>
      </c>
      <c r="BF97" s="3" t="s">
        <v>415</v>
      </c>
      <c r="BG97" s="3" t="s">
        <v>416</v>
      </c>
      <c r="BH97" s="3">
        <v>1</v>
      </c>
      <c r="BI97" s="3" t="str">
        <f t="shared" si="13"/>
        <v>A11</v>
      </c>
      <c r="BJ97" s="3">
        <v>1</v>
      </c>
      <c r="BK97" s="3" t="str">
        <f t="shared" si="14"/>
        <v>A4</v>
      </c>
      <c r="BL97" s="10">
        <v>1.5</v>
      </c>
      <c r="BM97" s="3">
        <v>0.4</v>
      </c>
      <c r="BN97" s="3">
        <f t="shared" si="15"/>
        <v>3.2810849999999996</v>
      </c>
      <c r="BO97" s="3">
        <f t="shared" si="16"/>
        <v>1.7810849999999996</v>
      </c>
      <c r="BP97" s="3" t="s">
        <v>420</v>
      </c>
      <c r="BQ97">
        <v>4</v>
      </c>
      <c r="BR97" t="s">
        <v>73</v>
      </c>
      <c r="BS97" s="3">
        <v>1</v>
      </c>
      <c r="BT97" s="3" t="s">
        <v>418</v>
      </c>
      <c r="BU97" s="3">
        <v>1</v>
      </c>
      <c r="BV97" s="3" t="str">
        <f t="shared" si="17"/>
        <v>A4</v>
      </c>
      <c r="BW97" s="3">
        <f t="shared" si="18"/>
        <v>1.7810849999999996</v>
      </c>
      <c r="BX97" s="21" t="s">
        <v>417</v>
      </c>
      <c r="BY97" s="3" t="str">
        <f t="shared" si="5"/>
        <v>Och-Mixed_Dilution Plate</v>
      </c>
      <c r="BZ97" s="3" t="str">
        <f t="shared" si="6"/>
        <v>A4</v>
      </c>
      <c r="CA97" s="3" t="str">
        <f t="shared" si="7"/>
        <v>Och-A</v>
      </c>
      <c r="CC97" s="3">
        <v>1.5</v>
      </c>
      <c r="CD97" t="s">
        <v>485</v>
      </c>
      <c r="CE97" s="21" t="str">
        <f t="shared" si="8"/>
        <v>OcA0101111A</v>
      </c>
      <c r="CF97" s="21" t="str">
        <f t="shared" si="9"/>
        <v>Och-ACat_011-Ex1-11A-lcwgs-2-1</v>
      </c>
      <c r="CG97" s="3">
        <f t="shared" si="10"/>
        <v>0.68574876908095961</v>
      </c>
      <c r="CH97">
        <v>2783174</v>
      </c>
      <c r="CI97">
        <v>2068607</v>
      </c>
      <c r="CJ97" s="27" t="s">
        <v>79</v>
      </c>
      <c r="CK97" s="3">
        <v>0.16640543049992657</v>
      </c>
      <c r="CL97" t="s">
        <v>1198</v>
      </c>
      <c r="CM97" s="33" t="s">
        <v>1634</v>
      </c>
      <c r="CN97" s="3" t="str">
        <f t="shared" si="12"/>
        <v>Och-ACat_011-Ex1-11A-lcwgs-2-2</v>
      </c>
      <c r="CR97"/>
    </row>
    <row r="98" spans="1:96" x14ac:dyDescent="0.55000000000000004">
      <c r="A98" t="s">
        <v>254</v>
      </c>
      <c r="B98" t="s">
        <v>757</v>
      </c>
      <c r="C98" s="3">
        <v>2</v>
      </c>
      <c r="E98" t="s">
        <v>198</v>
      </c>
      <c r="F98">
        <v>5</v>
      </c>
      <c r="G98" t="s">
        <v>250</v>
      </c>
      <c r="H98">
        <v>21.001337008392301</v>
      </c>
      <c r="I98" s="3" t="s">
        <v>74</v>
      </c>
      <c r="J98" s="3">
        <v>0.2</v>
      </c>
      <c r="K98" s="3">
        <v>7.25</v>
      </c>
      <c r="L98" s="3">
        <v>0.25</v>
      </c>
      <c r="O98" s="3">
        <v>200</v>
      </c>
      <c r="P98" s="3">
        <v>9.5232032093994015</v>
      </c>
      <c r="R98" s="3">
        <v>10</v>
      </c>
      <c r="S98" s="4">
        <v>45141</v>
      </c>
      <c r="T98" s="3" t="s">
        <v>282</v>
      </c>
      <c r="U98" s="3" t="s">
        <v>412</v>
      </c>
      <c r="V98" s="11" t="s">
        <v>100</v>
      </c>
      <c r="W98" s="11">
        <v>9</v>
      </c>
      <c r="X98" s="11" t="s">
        <v>107</v>
      </c>
      <c r="Y98" s="11">
        <v>9</v>
      </c>
      <c r="Z98">
        <v>5</v>
      </c>
      <c r="AA98" t="s">
        <v>87</v>
      </c>
      <c r="AB98" t="s">
        <v>413</v>
      </c>
      <c r="AC98" s="3" t="s">
        <v>78</v>
      </c>
      <c r="AD98" s="3">
        <v>2</v>
      </c>
      <c r="AE98">
        <v>5</v>
      </c>
      <c r="AF98" t="s">
        <v>250</v>
      </c>
      <c r="AG98" t="s">
        <v>646</v>
      </c>
      <c r="AH98" s="17" t="s">
        <v>647</v>
      </c>
      <c r="AI98" t="s">
        <v>624</v>
      </c>
      <c r="AJ98" s="18" t="s">
        <v>625</v>
      </c>
      <c r="AO98" s="10">
        <v>0.72789099999999995</v>
      </c>
      <c r="AP98" s="3">
        <v>37</v>
      </c>
      <c r="AQ98" s="3">
        <f t="shared" si="3"/>
        <v>26.931966999999997</v>
      </c>
      <c r="BE98" s="3" t="s">
        <v>79</v>
      </c>
      <c r="BF98" s="3" t="s">
        <v>415</v>
      </c>
      <c r="BG98" s="3" t="s">
        <v>416</v>
      </c>
      <c r="BH98" s="3">
        <v>1</v>
      </c>
      <c r="BI98" s="3" t="str">
        <f t="shared" si="13"/>
        <v>E5</v>
      </c>
      <c r="BJ98" s="3">
        <v>1</v>
      </c>
      <c r="BK98" s="3" t="str">
        <f t="shared" si="14"/>
        <v>D3</v>
      </c>
      <c r="BL98" s="10">
        <v>1.5</v>
      </c>
      <c r="BM98" s="3">
        <v>0.4</v>
      </c>
      <c r="BN98" s="3">
        <f t="shared" si="15"/>
        <v>2.7295912499999995</v>
      </c>
      <c r="BO98" s="3">
        <f t="shared" si="16"/>
        <v>1.2295912499999995</v>
      </c>
      <c r="BP98" s="3" t="s">
        <v>420</v>
      </c>
      <c r="BQ98">
        <v>3</v>
      </c>
      <c r="BR98" t="s">
        <v>84</v>
      </c>
      <c r="BS98" s="3">
        <v>1</v>
      </c>
      <c r="BT98" s="3" t="s">
        <v>418</v>
      </c>
      <c r="BU98" s="3">
        <v>1</v>
      </c>
      <c r="BV98" s="3" t="str">
        <f t="shared" si="17"/>
        <v>D3</v>
      </c>
      <c r="BW98" s="3">
        <f t="shared" si="18"/>
        <v>1.2295912499999995</v>
      </c>
      <c r="BX98" s="21" t="s">
        <v>417</v>
      </c>
      <c r="BY98" s="3" t="str">
        <f t="shared" si="5"/>
        <v>Och-Mixed_Dilution Plate</v>
      </c>
      <c r="BZ98" s="3" t="str">
        <f t="shared" si="6"/>
        <v>D3</v>
      </c>
      <c r="CA98" s="3" t="str">
        <f t="shared" si="7"/>
        <v>Och-A</v>
      </c>
      <c r="CC98" s="3">
        <v>1.5</v>
      </c>
      <c r="CD98" t="s">
        <v>492</v>
      </c>
      <c r="CE98" s="21" t="str">
        <f t="shared" si="8"/>
        <v>OcA0101205E</v>
      </c>
      <c r="CF98" s="21" t="str">
        <f t="shared" si="9"/>
        <v>Och-ATum_012-Ex1-5E-lcwgs-2-1</v>
      </c>
      <c r="CG98" s="3">
        <f t="shared" si="10"/>
        <v>0.82429924260637955</v>
      </c>
      <c r="CH98">
        <v>1687380</v>
      </c>
      <c r="CI98">
        <v>1303116</v>
      </c>
      <c r="CJ98" t="s">
        <v>79</v>
      </c>
      <c r="CK98" s="3">
        <v>0.41543987766632212</v>
      </c>
      <c r="CL98" t="s">
        <v>1200</v>
      </c>
      <c r="CM98" s="33" t="s">
        <v>1637</v>
      </c>
      <c r="CN98" s="3" t="str">
        <f t="shared" si="12"/>
        <v>Och-ATum_012-Ex1-5E-lcwgs-2-2</v>
      </c>
      <c r="CR98"/>
    </row>
    <row r="99" spans="1:96" x14ac:dyDescent="0.55000000000000004">
      <c r="A99" t="s">
        <v>212</v>
      </c>
      <c r="B99" t="s">
        <v>719</v>
      </c>
      <c r="C99" s="3">
        <v>2</v>
      </c>
      <c r="E99" t="s">
        <v>198</v>
      </c>
      <c r="F99">
        <v>12</v>
      </c>
      <c r="G99" t="s">
        <v>73</v>
      </c>
      <c r="H99">
        <v>6.7747572815533985</v>
      </c>
      <c r="I99" s="3" t="s">
        <v>74</v>
      </c>
      <c r="J99" s="3">
        <v>0.2</v>
      </c>
      <c r="K99" s="3">
        <v>7.25</v>
      </c>
      <c r="L99" s="3">
        <v>0.25</v>
      </c>
      <c r="O99" s="3">
        <v>200</v>
      </c>
      <c r="P99" s="3">
        <v>29.521352823158495</v>
      </c>
      <c r="R99" s="3">
        <v>10</v>
      </c>
      <c r="S99" s="4">
        <v>45141</v>
      </c>
      <c r="T99" s="3" t="s">
        <v>282</v>
      </c>
      <c r="U99" s="3" t="s">
        <v>412</v>
      </c>
      <c r="V99" s="11" t="s">
        <v>96</v>
      </c>
      <c r="W99" s="11">
        <v>23</v>
      </c>
      <c r="X99" s="11" t="s">
        <v>103</v>
      </c>
      <c r="Y99" s="11">
        <v>23</v>
      </c>
      <c r="Z99">
        <v>12</v>
      </c>
      <c r="AA99" t="s">
        <v>73</v>
      </c>
      <c r="AB99" t="s">
        <v>413</v>
      </c>
      <c r="AC99" s="3" t="s">
        <v>78</v>
      </c>
      <c r="AD99" s="3">
        <v>2</v>
      </c>
      <c r="AE99">
        <v>12</v>
      </c>
      <c r="AF99" t="s">
        <v>73</v>
      </c>
      <c r="AG99" t="s">
        <v>614</v>
      </c>
      <c r="AH99" s="17" t="s">
        <v>615</v>
      </c>
      <c r="AI99" t="s">
        <v>638</v>
      </c>
      <c r="AJ99" s="18" t="s">
        <v>639</v>
      </c>
      <c r="AO99" s="10">
        <v>0.52922199999999997</v>
      </c>
      <c r="AP99" s="3">
        <v>37</v>
      </c>
      <c r="AQ99" s="3">
        <f t="shared" si="3"/>
        <v>19.581213999999999</v>
      </c>
      <c r="BE99" s="3" t="s">
        <v>79</v>
      </c>
      <c r="BF99" s="3" t="s">
        <v>415</v>
      </c>
      <c r="BG99" s="3" t="s">
        <v>416</v>
      </c>
      <c r="BH99" s="3">
        <v>1</v>
      </c>
      <c r="BI99" s="3" t="str">
        <f t="shared" si="13"/>
        <v>A12</v>
      </c>
      <c r="BJ99" s="3">
        <v>1</v>
      </c>
      <c r="BK99" s="3" t="str">
        <f t="shared" si="14"/>
        <v>A1</v>
      </c>
      <c r="BL99" s="10">
        <v>1.5</v>
      </c>
      <c r="BM99" s="3">
        <v>0.4</v>
      </c>
      <c r="BN99" s="3">
        <f t="shared" si="15"/>
        <v>1.9845824999999999</v>
      </c>
      <c r="BO99" s="3">
        <f t="shared" si="16"/>
        <v>0.48458249999999992</v>
      </c>
      <c r="BP99" s="3" t="s">
        <v>420</v>
      </c>
      <c r="BQ99">
        <v>1</v>
      </c>
      <c r="BR99" t="s">
        <v>73</v>
      </c>
      <c r="BS99" s="3">
        <v>1</v>
      </c>
      <c r="BT99" s="3" t="s">
        <v>418</v>
      </c>
      <c r="BU99" s="3">
        <v>1</v>
      </c>
      <c r="BV99" s="3" t="str">
        <f t="shared" si="17"/>
        <v>A1</v>
      </c>
      <c r="BW99" s="3">
        <f t="shared" si="18"/>
        <v>0.48458249999999992</v>
      </c>
      <c r="BX99" s="21" t="s">
        <v>417</v>
      </c>
      <c r="BY99" s="3" t="str">
        <f t="shared" si="5"/>
        <v>Och-Mixed_Dilution Plate</v>
      </c>
      <c r="BZ99" s="3" t="str">
        <f t="shared" si="6"/>
        <v>A1</v>
      </c>
      <c r="CA99" s="3" t="str">
        <f t="shared" si="7"/>
        <v>Och-A</v>
      </c>
      <c r="CC99" s="3">
        <v>1.5</v>
      </c>
      <c r="CD99" t="s">
        <v>492</v>
      </c>
      <c r="CE99" s="21" t="str">
        <f t="shared" si="8"/>
        <v>OcA0101212A</v>
      </c>
      <c r="CF99" s="21" t="str">
        <f t="shared" si="9"/>
        <v>Och-ACat_012-Ex1-12A-lcwgs-2-1</v>
      </c>
      <c r="CG99" s="3">
        <f t="shared" si="10"/>
        <v>1.1337397160359926</v>
      </c>
      <c r="CH99">
        <v>1977918</v>
      </c>
      <c r="CI99">
        <v>1415807</v>
      </c>
      <c r="CJ99" s="27" t="s">
        <v>79</v>
      </c>
      <c r="CK99" s="3">
        <v>0.40713235363077421</v>
      </c>
      <c r="CL99" t="s">
        <v>1198</v>
      </c>
      <c r="CM99" s="33" t="s">
        <v>1636</v>
      </c>
      <c r="CN99" s="3" t="str">
        <f t="shared" si="12"/>
        <v>Och-ACat_012-Ex1-12A-lcwgs-2-2</v>
      </c>
      <c r="CR99"/>
    </row>
    <row r="100" spans="1:96" x14ac:dyDescent="0.55000000000000004">
      <c r="A100" t="s">
        <v>213</v>
      </c>
      <c r="B100" t="s">
        <v>720</v>
      </c>
      <c r="C100" s="3">
        <v>2</v>
      </c>
      <c r="E100" t="s">
        <v>198</v>
      </c>
      <c r="F100">
        <v>1</v>
      </c>
      <c r="G100" t="s">
        <v>76</v>
      </c>
      <c r="H100">
        <v>3.9026246503208819</v>
      </c>
      <c r="I100" s="3" t="s">
        <v>74</v>
      </c>
      <c r="J100" s="3">
        <v>0.2</v>
      </c>
      <c r="K100" s="3">
        <v>7.25</v>
      </c>
      <c r="L100" s="3">
        <v>0.25</v>
      </c>
      <c r="O100" s="3">
        <v>200</v>
      </c>
      <c r="P100" s="3">
        <v>51.247562325409795</v>
      </c>
      <c r="R100" s="3">
        <v>10</v>
      </c>
      <c r="S100" s="4">
        <v>45141</v>
      </c>
      <c r="T100" s="3" t="s">
        <v>282</v>
      </c>
      <c r="U100" s="3" t="s">
        <v>412</v>
      </c>
      <c r="V100" s="11" t="s">
        <v>96</v>
      </c>
      <c r="W100" s="11">
        <v>2</v>
      </c>
      <c r="X100" s="11" t="s">
        <v>103</v>
      </c>
      <c r="Y100" s="11">
        <v>2</v>
      </c>
      <c r="Z100">
        <v>1</v>
      </c>
      <c r="AA100" t="s">
        <v>76</v>
      </c>
      <c r="AB100" t="s">
        <v>413</v>
      </c>
      <c r="AC100" s="3" t="s">
        <v>78</v>
      </c>
      <c r="AD100" s="3">
        <v>2</v>
      </c>
      <c r="AE100">
        <v>1</v>
      </c>
      <c r="AF100" t="s">
        <v>76</v>
      </c>
      <c r="AG100" t="s">
        <v>640</v>
      </c>
      <c r="AH100" s="17" t="s">
        <v>641</v>
      </c>
      <c r="AI100" t="s">
        <v>616</v>
      </c>
      <c r="AJ100" s="18" t="s">
        <v>617</v>
      </c>
      <c r="AO100" s="10">
        <v>0.61415600000000004</v>
      </c>
      <c r="AP100" s="3">
        <v>37</v>
      </c>
      <c r="AQ100" s="3">
        <f t="shared" si="3"/>
        <v>22.723772</v>
      </c>
      <c r="BE100" s="3" t="s">
        <v>79</v>
      </c>
      <c r="BF100" s="3" t="s">
        <v>415</v>
      </c>
      <c r="BG100" s="3" t="s">
        <v>416</v>
      </c>
      <c r="BH100" s="3">
        <v>1</v>
      </c>
      <c r="BI100" s="3" t="str">
        <f t="shared" si="13"/>
        <v>B1</v>
      </c>
      <c r="BJ100" s="3">
        <v>1</v>
      </c>
      <c r="BK100" s="3" t="str">
        <f t="shared" si="14"/>
        <v>C2</v>
      </c>
      <c r="BL100" s="10">
        <v>1.5</v>
      </c>
      <c r="BM100" s="3">
        <v>0.4</v>
      </c>
      <c r="BN100" s="3">
        <f t="shared" si="15"/>
        <v>2.3030850000000003</v>
      </c>
      <c r="BO100" s="3">
        <f t="shared" si="16"/>
        <v>0.80308500000000027</v>
      </c>
      <c r="BP100" s="3" t="s">
        <v>420</v>
      </c>
      <c r="BQ100">
        <v>2</v>
      </c>
      <c r="BR100" t="s">
        <v>83</v>
      </c>
      <c r="BS100" s="3">
        <v>1</v>
      </c>
      <c r="BT100" s="3" t="s">
        <v>418</v>
      </c>
      <c r="BU100" s="3">
        <v>1</v>
      </c>
      <c r="BV100" s="3" t="str">
        <f t="shared" si="17"/>
        <v>C2</v>
      </c>
      <c r="BW100" s="3">
        <f t="shared" si="18"/>
        <v>0.80308500000000027</v>
      </c>
      <c r="BX100" s="21" t="s">
        <v>417</v>
      </c>
      <c r="BY100" s="3" t="str">
        <f t="shared" si="5"/>
        <v>Och-Mixed_Dilution Plate</v>
      </c>
      <c r="BZ100" s="3" t="str">
        <f t="shared" si="6"/>
        <v>C2</v>
      </c>
      <c r="CA100" s="3" t="str">
        <f t="shared" si="7"/>
        <v>Och-A</v>
      </c>
      <c r="CC100" s="3">
        <v>1.5</v>
      </c>
      <c r="CD100" t="s">
        <v>461</v>
      </c>
      <c r="CE100" s="21" t="str">
        <f t="shared" si="8"/>
        <v>OcA0101301B</v>
      </c>
      <c r="CF100" s="21" t="str">
        <f t="shared" si="9"/>
        <v>Och-ACat_013-Ex1-1B-lcwgs-2-1</v>
      </c>
      <c r="CG100" s="3">
        <f t="shared" si="10"/>
        <v>0.97695048163658726</v>
      </c>
      <c r="CH100">
        <v>2811529</v>
      </c>
      <c r="CI100">
        <v>2079775</v>
      </c>
      <c r="CJ100" s="27" t="s">
        <v>79</v>
      </c>
      <c r="CK100" s="3">
        <v>0.23574427215244023</v>
      </c>
      <c r="CL100" t="s">
        <v>1198</v>
      </c>
      <c r="CM100" s="33" t="s">
        <v>1638</v>
      </c>
      <c r="CN100" s="3" t="str">
        <f t="shared" si="12"/>
        <v>Och-ACat_013-Ex1-1B-lcwgs-2-2</v>
      </c>
      <c r="CR100"/>
    </row>
    <row r="101" spans="1:96" x14ac:dyDescent="0.55000000000000004">
      <c r="A101" t="s">
        <v>255</v>
      </c>
      <c r="B101" t="s">
        <v>758</v>
      </c>
      <c r="C101" s="3">
        <v>2</v>
      </c>
      <c r="E101" t="s">
        <v>198</v>
      </c>
      <c r="F101">
        <v>6</v>
      </c>
      <c r="G101" t="s">
        <v>250</v>
      </c>
      <c r="H101">
        <v>23.994310515056771</v>
      </c>
      <c r="I101" s="3" t="s">
        <v>74</v>
      </c>
      <c r="J101" s="3">
        <v>0.2</v>
      </c>
      <c r="K101" s="3">
        <v>7.25</v>
      </c>
      <c r="L101" s="3">
        <v>0.25</v>
      </c>
      <c r="O101" s="3">
        <v>200</v>
      </c>
      <c r="P101" s="3">
        <v>8.3353093173690969</v>
      </c>
      <c r="R101" s="3">
        <v>10</v>
      </c>
      <c r="S101" s="4">
        <v>45141</v>
      </c>
      <c r="T101" s="3" t="s">
        <v>282</v>
      </c>
      <c r="U101" s="3" t="s">
        <v>412</v>
      </c>
      <c r="V101" s="11" t="s">
        <v>100</v>
      </c>
      <c r="W101" s="11">
        <v>11</v>
      </c>
      <c r="X101" s="11" t="s">
        <v>107</v>
      </c>
      <c r="Y101" s="11">
        <v>11</v>
      </c>
      <c r="Z101">
        <v>6</v>
      </c>
      <c r="AA101" t="s">
        <v>87</v>
      </c>
      <c r="AB101" t="s">
        <v>413</v>
      </c>
      <c r="AC101" s="3" t="s">
        <v>78</v>
      </c>
      <c r="AD101" s="3">
        <v>2</v>
      </c>
      <c r="AE101">
        <v>6</v>
      </c>
      <c r="AF101" t="s">
        <v>250</v>
      </c>
      <c r="AG101" t="s">
        <v>646</v>
      </c>
      <c r="AH101" s="17" t="s">
        <v>647</v>
      </c>
      <c r="AI101" t="s">
        <v>626</v>
      </c>
      <c r="AJ101" s="18" t="s">
        <v>627</v>
      </c>
      <c r="AO101" s="10">
        <v>1.3793949999999999</v>
      </c>
      <c r="AP101" s="3">
        <v>37</v>
      </c>
      <c r="AQ101" s="3">
        <f t="shared" si="3"/>
        <v>51.037614999999995</v>
      </c>
      <c r="BE101" s="3" t="s">
        <v>79</v>
      </c>
      <c r="BF101" s="3" t="s">
        <v>415</v>
      </c>
      <c r="BG101" s="3" t="s">
        <v>416</v>
      </c>
      <c r="BH101" s="3">
        <v>1</v>
      </c>
      <c r="BI101" s="3" t="str">
        <f t="shared" si="13"/>
        <v>E6</v>
      </c>
      <c r="BJ101" s="3">
        <v>1</v>
      </c>
      <c r="BK101" s="3" t="str">
        <f t="shared" si="14"/>
        <v>C5</v>
      </c>
      <c r="BL101" s="10">
        <v>1.5</v>
      </c>
      <c r="BM101" s="3">
        <v>0.4</v>
      </c>
      <c r="BN101" s="3">
        <f t="shared" si="15"/>
        <v>5.17273125</v>
      </c>
      <c r="BO101" s="3">
        <f t="shared" si="16"/>
        <v>3.67273125</v>
      </c>
      <c r="BP101" s="3" t="s">
        <v>420</v>
      </c>
      <c r="BQ101">
        <v>5</v>
      </c>
      <c r="BR101" t="s">
        <v>83</v>
      </c>
      <c r="BS101" s="3">
        <v>1</v>
      </c>
      <c r="BT101" s="3" t="s">
        <v>418</v>
      </c>
      <c r="BU101" s="3">
        <v>1</v>
      </c>
      <c r="BV101" s="3" t="str">
        <f t="shared" si="17"/>
        <v>C5</v>
      </c>
      <c r="BW101" s="3">
        <f t="shared" si="18"/>
        <v>3.67273125</v>
      </c>
      <c r="BX101" s="21" t="s">
        <v>417</v>
      </c>
      <c r="BY101" s="3" t="str">
        <f t="shared" si="5"/>
        <v>Och-Mixed_Dilution Plate</v>
      </c>
      <c r="BZ101" s="3" t="str">
        <f t="shared" si="6"/>
        <v>C5</v>
      </c>
      <c r="CA101" s="3" t="str">
        <f t="shared" si="7"/>
        <v>Och-A</v>
      </c>
      <c r="CC101" s="3">
        <v>1.5</v>
      </c>
      <c r="CD101" t="s">
        <v>461</v>
      </c>
      <c r="CE101" s="21" t="str">
        <f t="shared" si="8"/>
        <v>OcA0101306E</v>
      </c>
      <c r="CF101" s="21" t="str">
        <f t="shared" si="9"/>
        <v>Och-ATum_013-Ex1-6E-lcwgs-2-1</v>
      </c>
      <c r="CG101" s="3">
        <f t="shared" si="10"/>
        <v>0.43497330351349683</v>
      </c>
      <c r="CH101">
        <v>1830588</v>
      </c>
      <c r="CI101">
        <v>1487355</v>
      </c>
      <c r="CJ101" t="s">
        <v>79</v>
      </c>
      <c r="CK101" s="3">
        <v>0.1912911990551471</v>
      </c>
      <c r="CL101" t="s">
        <v>1200</v>
      </c>
      <c r="CM101" s="33" t="s">
        <v>1639</v>
      </c>
      <c r="CN101" s="3" t="str">
        <f t="shared" si="12"/>
        <v>Och-ATum_013-Ex1-6E-lcwgs-2-2</v>
      </c>
      <c r="CR101"/>
    </row>
    <row r="102" spans="1:96" x14ac:dyDescent="0.55000000000000004">
      <c r="A102" t="s">
        <v>214</v>
      </c>
      <c r="B102" t="s">
        <v>721</v>
      </c>
      <c r="C102" s="3">
        <v>2</v>
      </c>
      <c r="E102" t="s">
        <v>198</v>
      </c>
      <c r="F102">
        <v>2</v>
      </c>
      <c r="G102" t="s">
        <v>76</v>
      </c>
      <c r="H102">
        <v>2.2948782293895009</v>
      </c>
      <c r="I102" s="3" t="s">
        <v>74</v>
      </c>
      <c r="J102" s="3">
        <v>0.2</v>
      </c>
      <c r="K102" s="3">
        <v>7.25</v>
      </c>
      <c r="L102" s="3">
        <v>0.25</v>
      </c>
      <c r="O102" s="3">
        <v>106.53904064505508</v>
      </c>
      <c r="P102" s="3">
        <v>46.424703184969133</v>
      </c>
      <c r="R102" s="3">
        <v>10</v>
      </c>
      <c r="S102" s="4">
        <v>45141</v>
      </c>
      <c r="T102" s="3" t="s">
        <v>282</v>
      </c>
      <c r="U102" s="3" t="s">
        <v>412</v>
      </c>
      <c r="V102" s="11" t="s">
        <v>96</v>
      </c>
      <c r="W102" s="11">
        <v>4</v>
      </c>
      <c r="X102" s="11" t="s">
        <v>103</v>
      </c>
      <c r="Y102" s="11">
        <v>4</v>
      </c>
      <c r="Z102">
        <v>2</v>
      </c>
      <c r="AA102" t="s">
        <v>76</v>
      </c>
      <c r="AB102" t="s">
        <v>413</v>
      </c>
      <c r="AC102" s="3" t="s">
        <v>78</v>
      </c>
      <c r="AD102" s="3">
        <v>2</v>
      </c>
      <c r="AE102">
        <v>2</v>
      </c>
      <c r="AF102" t="s">
        <v>76</v>
      </c>
      <c r="AG102" t="s">
        <v>640</v>
      </c>
      <c r="AH102" s="17" t="s">
        <v>641</v>
      </c>
      <c r="AI102" t="s">
        <v>618</v>
      </c>
      <c r="AJ102" s="18" t="s">
        <v>619</v>
      </c>
      <c r="AO102" s="10">
        <v>2.3362910000000001</v>
      </c>
      <c r="AP102" s="3">
        <v>37</v>
      </c>
      <c r="AQ102" s="3">
        <f t="shared" si="3"/>
        <v>86.442767000000003</v>
      </c>
      <c r="BE102" s="3" t="s">
        <v>79</v>
      </c>
      <c r="BF102" s="3" t="s">
        <v>415</v>
      </c>
      <c r="BG102" s="3" t="s">
        <v>416</v>
      </c>
      <c r="BH102" s="3">
        <v>1</v>
      </c>
      <c r="BI102" s="3" t="str">
        <f t="shared" si="13"/>
        <v>B2</v>
      </c>
      <c r="BJ102" s="3">
        <v>1</v>
      </c>
      <c r="BK102" s="3" t="str">
        <f t="shared" si="14"/>
        <v>B6</v>
      </c>
      <c r="BL102" s="10">
        <v>1.5</v>
      </c>
      <c r="BM102" s="3">
        <v>0.4</v>
      </c>
      <c r="BN102" s="3">
        <f t="shared" si="15"/>
        <v>8.7610912499999998</v>
      </c>
      <c r="BO102" s="3">
        <f t="shared" si="16"/>
        <v>7.2610912499999998</v>
      </c>
      <c r="BP102" s="3" t="s">
        <v>420</v>
      </c>
      <c r="BQ102">
        <v>6</v>
      </c>
      <c r="BR102" t="s">
        <v>76</v>
      </c>
      <c r="BS102" s="3">
        <v>1</v>
      </c>
      <c r="BT102" s="3" t="s">
        <v>418</v>
      </c>
      <c r="BU102" s="3">
        <v>1</v>
      </c>
      <c r="BV102" s="3" t="str">
        <f t="shared" si="17"/>
        <v>B6</v>
      </c>
      <c r="BW102" s="3">
        <f t="shared" si="18"/>
        <v>7.2610912499999998</v>
      </c>
      <c r="BX102" s="21" t="s">
        <v>417</v>
      </c>
      <c r="BY102" s="3" t="str">
        <f t="shared" si="5"/>
        <v>Och-Mixed_Dilution Plate</v>
      </c>
      <c r="BZ102" s="3" t="str">
        <f t="shared" si="6"/>
        <v>B6</v>
      </c>
      <c r="CA102" s="3" t="str">
        <f t="shared" si="7"/>
        <v>Och-A</v>
      </c>
      <c r="CC102" s="3">
        <v>1.5</v>
      </c>
      <c r="CD102" t="s">
        <v>468</v>
      </c>
      <c r="CE102" s="21" t="str">
        <f t="shared" si="8"/>
        <v>OcA0101402B</v>
      </c>
      <c r="CF102" s="21" t="str">
        <f t="shared" si="9"/>
        <v>Och-ACat_014-Ex1-2B-lcwgs-2-1</v>
      </c>
      <c r="CG102" s="3">
        <f t="shared" si="10"/>
        <v>0.25681732284206038</v>
      </c>
      <c r="CH102">
        <v>2854077</v>
      </c>
      <c r="CI102">
        <v>2126502</v>
      </c>
      <c r="CJ102" s="27" t="s">
        <v>79</v>
      </c>
      <c r="CK102" s="3">
        <v>6.0554118181261121E-2</v>
      </c>
      <c r="CL102" t="s">
        <v>1198</v>
      </c>
      <c r="CM102" s="33" t="s">
        <v>1640</v>
      </c>
      <c r="CN102" s="3" t="str">
        <f t="shared" si="12"/>
        <v>Och-ACat_014-Ex1-2B-lcwgs-2-2</v>
      </c>
      <c r="CR102"/>
    </row>
    <row r="103" spans="1:96" x14ac:dyDescent="0.55000000000000004">
      <c r="A103" t="s">
        <v>256</v>
      </c>
      <c r="B103" t="s">
        <v>759</v>
      </c>
      <c r="C103" s="3">
        <v>2</v>
      </c>
      <c r="E103" t="s">
        <v>198</v>
      </c>
      <c r="F103">
        <v>7</v>
      </c>
      <c r="G103" t="s">
        <v>250</v>
      </c>
      <c r="H103">
        <v>23.875518347869015</v>
      </c>
      <c r="I103" s="3" t="s">
        <v>74</v>
      </c>
      <c r="J103" s="3">
        <v>0.2</v>
      </c>
      <c r="K103" s="3">
        <v>7.25</v>
      </c>
      <c r="L103" s="3">
        <v>0.25</v>
      </c>
      <c r="O103" s="3">
        <v>200</v>
      </c>
      <c r="P103" s="3">
        <v>8.3767814832740921</v>
      </c>
      <c r="R103" s="3">
        <v>10</v>
      </c>
      <c r="S103" s="4">
        <v>45141</v>
      </c>
      <c r="T103" s="3" t="s">
        <v>282</v>
      </c>
      <c r="U103" s="3" t="s">
        <v>412</v>
      </c>
      <c r="V103" s="11" t="s">
        <v>100</v>
      </c>
      <c r="W103" s="11">
        <v>13</v>
      </c>
      <c r="X103" s="11" t="s">
        <v>107</v>
      </c>
      <c r="Y103" s="11">
        <v>13</v>
      </c>
      <c r="Z103">
        <v>7</v>
      </c>
      <c r="AA103" t="s">
        <v>87</v>
      </c>
      <c r="AB103" t="s">
        <v>413</v>
      </c>
      <c r="AC103" s="3" t="s">
        <v>78</v>
      </c>
      <c r="AD103" s="3">
        <v>2</v>
      </c>
      <c r="AE103">
        <v>7</v>
      </c>
      <c r="AF103" t="s">
        <v>250</v>
      </c>
      <c r="AG103" t="s">
        <v>646</v>
      </c>
      <c r="AH103" s="17" t="s">
        <v>647</v>
      </c>
      <c r="AI103" t="s">
        <v>628</v>
      </c>
      <c r="AJ103" s="18" t="s">
        <v>629</v>
      </c>
      <c r="AO103" s="10">
        <v>0.61824699999999999</v>
      </c>
      <c r="AP103" s="3">
        <v>37</v>
      </c>
      <c r="AQ103" s="3">
        <f t="shared" si="3"/>
        <v>22.875139000000001</v>
      </c>
      <c r="BE103" s="3" t="s">
        <v>79</v>
      </c>
      <c r="BF103" s="3" t="s">
        <v>415</v>
      </c>
      <c r="BG103" s="3" t="s">
        <v>416</v>
      </c>
      <c r="BH103" s="3">
        <v>1</v>
      </c>
      <c r="BI103" s="3" t="str">
        <f t="shared" si="13"/>
        <v>E7</v>
      </c>
      <c r="BJ103" s="3">
        <v>1</v>
      </c>
      <c r="BK103" s="3" t="str">
        <f t="shared" si="14"/>
        <v>D2</v>
      </c>
      <c r="BL103" s="10">
        <v>1.5</v>
      </c>
      <c r="BM103" s="3">
        <v>0.4</v>
      </c>
      <c r="BN103" s="3">
        <f t="shared" si="15"/>
        <v>2.3184262499999999</v>
      </c>
      <c r="BO103" s="3">
        <f t="shared" si="16"/>
        <v>0.81842624999999991</v>
      </c>
      <c r="BP103" s="3" t="s">
        <v>420</v>
      </c>
      <c r="BQ103">
        <v>2</v>
      </c>
      <c r="BR103" t="s">
        <v>84</v>
      </c>
      <c r="BS103" s="3">
        <v>1</v>
      </c>
      <c r="BT103" s="3" t="s">
        <v>418</v>
      </c>
      <c r="BU103" s="3">
        <v>1</v>
      </c>
      <c r="BV103" s="3" t="str">
        <f t="shared" si="17"/>
        <v>D2</v>
      </c>
      <c r="BW103" s="3">
        <f t="shared" si="18"/>
        <v>0.81842624999999991</v>
      </c>
      <c r="BX103" s="21" t="s">
        <v>417</v>
      </c>
      <c r="BY103" s="3" t="str">
        <f t="shared" si="5"/>
        <v>Och-Mixed_Dilution Plate</v>
      </c>
      <c r="BZ103" s="3" t="str">
        <f t="shared" si="6"/>
        <v>D2</v>
      </c>
      <c r="CA103" s="3" t="str">
        <f t="shared" si="7"/>
        <v>Och-A</v>
      </c>
      <c r="CC103" s="3">
        <v>1.5</v>
      </c>
      <c r="CD103" t="s">
        <v>468</v>
      </c>
      <c r="CE103" s="21" t="str">
        <f t="shared" si="8"/>
        <v>OcA0101407E</v>
      </c>
      <c r="CF103" s="21" t="str">
        <f t="shared" si="9"/>
        <v>Och-ATum_014-Ex1-7E-lcwgs-2-1</v>
      </c>
      <c r="CG103" s="3">
        <f t="shared" si="10"/>
        <v>0.97048590611842833</v>
      </c>
      <c r="CH103">
        <v>76596</v>
      </c>
      <c r="CI103">
        <v>65711</v>
      </c>
      <c r="CJ103" t="s">
        <v>79</v>
      </c>
      <c r="CK103" s="3">
        <v>9.9630560996871811</v>
      </c>
      <c r="CL103" t="s">
        <v>1200</v>
      </c>
      <c r="CM103" s="33" t="s">
        <v>1641</v>
      </c>
      <c r="CN103" s="3" t="str">
        <f t="shared" si="12"/>
        <v>Och-ATum_014-Ex1-7E-lcwgs-2-2</v>
      </c>
      <c r="CR103"/>
    </row>
    <row r="104" spans="1:96" x14ac:dyDescent="0.55000000000000004">
      <c r="A104" t="s">
        <v>215</v>
      </c>
      <c r="B104" t="s">
        <v>782</v>
      </c>
      <c r="C104" s="3">
        <v>2</v>
      </c>
      <c r="E104" t="s">
        <v>198</v>
      </c>
      <c r="F104">
        <v>3</v>
      </c>
      <c r="G104" t="s">
        <v>76</v>
      </c>
      <c r="H104">
        <v>7.6443022873128177</v>
      </c>
      <c r="I104" s="3" t="s">
        <v>74</v>
      </c>
      <c r="J104" s="3">
        <v>0.2</v>
      </c>
      <c r="K104" s="3">
        <v>7.25</v>
      </c>
      <c r="L104" s="3">
        <v>0.25</v>
      </c>
      <c r="O104" s="3">
        <v>200</v>
      </c>
      <c r="P104" s="3">
        <v>26.163277233546648</v>
      </c>
      <c r="R104" s="3">
        <v>10</v>
      </c>
      <c r="S104" s="4">
        <v>45141</v>
      </c>
      <c r="T104" s="3" t="s">
        <v>282</v>
      </c>
      <c r="U104" s="3" t="s">
        <v>412</v>
      </c>
      <c r="V104" s="11" t="s">
        <v>96</v>
      </c>
      <c r="W104" s="11">
        <v>6</v>
      </c>
      <c r="X104" s="11" t="s">
        <v>103</v>
      </c>
      <c r="Y104" s="11">
        <v>6</v>
      </c>
      <c r="Z104">
        <v>3</v>
      </c>
      <c r="AA104" t="s">
        <v>76</v>
      </c>
      <c r="AB104" t="s">
        <v>413</v>
      </c>
      <c r="AC104" s="3" t="s">
        <v>78</v>
      </c>
      <c r="AD104" s="3">
        <v>2</v>
      </c>
      <c r="AE104">
        <v>3</v>
      </c>
      <c r="AF104" t="s">
        <v>76</v>
      </c>
      <c r="AG104" t="s">
        <v>640</v>
      </c>
      <c r="AH104" s="17" t="s">
        <v>641</v>
      </c>
      <c r="AI104" t="s">
        <v>620</v>
      </c>
      <c r="AJ104" s="18" t="s">
        <v>621</v>
      </c>
      <c r="AO104" s="10">
        <v>0.45750200000000002</v>
      </c>
      <c r="AP104" s="3">
        <v>37</v>
      </c>
      <c r="AQ104" s="3">
        <f t="shared" si="3"/>
        <v>16.927574</v>
      </c>
      <c r="BE104" s="3" t="s">
        <v>79</v>
      </c>
      <c r="BF104" s="3" t="s">
        <v>415</v>
      </c>
      <c r="BG104" s="3" t="s">
        <v>186</v>
      </c>
      <c r="BH104" s="3" t="s">
        <v>186</v>
      </c>
      <c r="BI104" s="3" t="s">
        <v>186</v>
      </c>
      <c r="BJ104" s="3" t="s">
        <v>186</v>
      </c>
      <c r="BK104" s="3" t="s">
        <v>186</v>
      </c>
      <c r="BL104" s="3" t="s">
        <v>186</v>
      </c>
      <c r="BM104" s="3" t="s">
        <v>186</v>
      </c>
      <c r="BN104" s="3" t="s">
        <v>186</v>
      </c>
      <c r="BO104" s="3" t="s">
        <v>186</v>
      </c>
      <c r="BP104" s="3" t="s">
        <v>186</v>
      </c>
      <c r="BQ104" s="3" t="s">
        <v>186</v>
      </c>
      <c r="BR104" s="3" t="s">
        <v>186</v>
      </c>
      <c r="BS104" s="3" t="s">
        <v>186</v>
      </c>
      <c r="BT104" s="3" t="s">
        <v>186</v>
      </c>
      <c r="BU104" s="3" t="s">
        <v>186</v>
      </c>
      <c r="BV104" s="3" t="s">
        <v>186</v>
      </c>
      <c r="BW104" s="3" t="s">
        <v>186</v>
      </c>
      <c r="BX104" s="21" t="s">
        <v>417</v>
      </c>
      <c r="BY104" s="3" t="str">
        <f t="shared" si="5"/>
        <v>Och-A_RedoLibraries</v>
      </c>
      <c r="BZ104" s="3" t="str">
        <f t="shared" si="6"/>
        <v>B3</v>
      </c>
      <c r="CA104" s="3" t="str">
        <f t="shared" si="7"/>
        <v>Och-A</v>
      </c>
      <c r="CC104" s="3">
        <v>1.5</v>
      </c>
      <c r="CD104" t="s">
        <v>475</v>
      </c>
      <c r="CE104" s="21" t="str">
        <f t="shared" si="8"/>
        <v>OcA0101503B</v>
      </c>
      <c r="CF104" s="21" t="str">
        <f t="shared" si="9"/>
        <v>Och-ACat_015-Ex1-3B-lcwgs-2-1</v>
      </c>
      <c r="CG104" s="3">
        <f t="shared" si="10"/>
        <v>1.5</v>
      </c>
      <c r="CH104">
        <v>1876101</v>
      </c>
      <c r="CI104">
        <v>1233154</v>
      </c>
      <c r="CJ104" s="27" t="s">
        <v>79</v>
      </c>
      <c r="CK104" s="3">
        <v>0.6206394620579444</v>
      </c>
      <c r="CL104" t="s">
        <v>1198</v>
      </c>
      <c r="CM104" s="33" t="s">
        <v>1642</v>
      </c>
      <c r="CN104" s="3" t="str">
        <f t="shared" si="12"/>
        <v>Och-ACat_015-Ex1-3B-lcwgs-2-2</v>
      </c>
      <c r="CR104"/>
    </row>
    <row r="105" spans="1:96" x14ac:dyDescent="0.55000000000000004">
      <c r="A105" t="s">
        <v>215</v>
      </c>
      <c r="B105" t="s">
        <v>782</v>
      </c>
      <c r="C105" s="3">
        <v>1</v>
      </c>
      <c r="E105" t="s">
        <v>198</v>
      </c>
      <c r="F105">
        <v>3</v>
      </c>
      <c r="G105" t="s">
        <v>76</v>
      </c>
      <c r="H105" s="3">
        <v>7.6443022873128177</v>
      </c>
      <c r="I105" s="3" t="s">
        <v>74</v>
      </c>
      <c r="J105" s="3">
        <v>0.2</v>
      </c>
      <c r="K105" s="3">
        <v>7.25</v>
      </c>
      <c r="L105" s="3">
        <v>0.25</v>
      </c>
      <c r="O105" s="3">
        <v>100</v>
      </c>
      <c r="P105" s="3">
        <v>13.081638616773324</v>
      </c>
      <c r="R105" s="3">
        <v>10</v>
      </c>
      <c r="S105" s="4">
        <v>44945</v>
      </c>
      <c r="T105" s="3" t="s">
        <v>199</v>
      </c>
      <c r="U105" s="3" t="s">
        <v>200</v>
      </c>
      <c r="V105">
        <v>9</v>
      </c>
      <c r="W105" t="s">
        <v>73</v>
      </c>
      <c r="X105">
        <v>10</v>
      </c>
      <c r="Y105" t="s">
        <v>73</v>
      </c>
      <c r="Z105">
        <v>5</v>
      </c>
      <c r="AA105" t="s">
        <v>73</v>
      </c>
      <c r="AB105" t="s">
        <v>201</v>
      </c>
      <c r="AC105" s="3" t="s">
        <v>78</v>
      </c>
      <c r="AD105" s="3">
        <v>5</v>
      </c>
      <c r="AE105">
        <v>5</v>
      </c>
      <c r="AF105" t="s">
        <v>73</v>
      </c>
      <c r="AG105" t="s">
        <v>696</v>
      </c>
      <c r="AH105" s="17" t="s">
        <v>697</v>
      </c>
      <c r="AI105" t="s">
        <v>654</v>
      </c>
      <c r="AJ105" s="18" t="s">
        <v>655</v>
      </c>
      <c r="AO105" s="3">
        <v>0.19752532983453605</v>
      </c>
      <c r="AP105" s="3">
        <v>37</v>
      </c>
      <c r="AQ105" s="3">
        <f t="shared" si="3"/>
        <v>7.3084372038778342</v>
      </c>
      <c r="BE105" s="3" t="s">
        <v>79</v>
      </c>
      <c r="BF105" s="3" t="s">
        <v>415</v>
      </c>
      <c r="BG105" s="3" t="s">
        <v>186</v>
      </c>
      <c r="BH105" s="3" t="s">
        <v>186</v>
      </c>
      <c r="BI105" s="3" t="s">
        <v>186</v>
      </c>
      <c r="BJ105" s="3" t="s">
        <v>186</v>
      </c>
      <c r="BK105" s="3" t="s">
        <v>186</v>
      </c>
      <c r="BL105" s="3" t="s">
        <v>186</v>
      </c>
      <c r="BM105" s="3" t="s">
        <v>186</v>
      </c>
      <c r="BN105" s="3" t="s">
        <v>186</v>
      </c>
      <c r="BO105" s="3" t="s">
        <v>186</v>
      </c>
      <c r="BP105" s="3" t="s">
        <v>186</v>
      </c>
      <c r="BQ105" s="3" t="s">
        <v>186</v>
      </c>
      <c r="BR105" s="3" t="s">
        <v>186</v>
      </c>
      <c r="BS105" s="3" t="s">
        <v>186</v>
      </c>
      <c r="BT105" s="3" t="s">
        <v>186</v>
      </c>
      <c r="BU105" s="3" t="s">
        <v>186</v>
      </c>
      <c r="BV105" s="3" t="s">
        <v>186</v>
      </c>
      <c r="BW105" s="3" t="s">
        <v>186</v>
      </c>
      <c r="BX105" s="21" t="s">
        <v>417</v>
      </c>
      <c r="BY105" s="3" t="str">
        <f t="shared" si="5"/>
        <v>PIRE-A_LibrariesforCapture_Jan2023-2</v>
      </c>
      <c r="BZ105" s="3" t="str">
        <f t="shared" si="6"/>
        <v>A5</v>
      </c>
      <c r="CA105" s="3" t="str">
        <f t="shared" si="7"/>
        <v>Och-A</v>
      </c>
      <c r="CC105" s="3">
        <v>1.5</v>
      </c>
      <c r="CD105" t="s">
        <v>475</v>
      </c>
      <c r="CE105" s="21" t="str">
        <f t="shared" si="8"/>
        <v>OcA0101505A</v>
      </c>
      <c r="CF105" s="21" t="str">
        <f t="shared" si="9"/>
        <v>Och-ACat_015-Ex1-5A-lcwgs-1-1</v>
      </c>
      <c r="CG105" s="3">
        <f t="shared" si="10"/>
        <v>1.5</v>
      </c>
      <c r="CH105">
        <v>19353</v>
      </c>
      <c r="CI105">
        <v>14309</v>
      </c>
      <c r="CJ105" s="27" t="s">
        <v>185</v>
      </c>
      <c r="CK105" s="3">
        <v>0</v>
      </c>
      <c r="CL105"/>
      <c r="CM105" s="33"/>
    </row>
    <row r="106" spans="1:96" x14ac:dyDescent="0.55000000000000004">
      <c r="A106" t="s">
        <v>257</v>
      </c>
      <c r="B106" t="s">
        <v>760</v>
      </c>
      <c r="C106" s="3">
        <v>2</v>
      </c>
      <c r="E106" t="s">
        <v>198</v>
      </c>
      <c r="F106">
        <v>8</v>
      </c>
      <c r="G106" t="s">
        <v>250</v>
      </c>
      <c r="H106">
        <v>29.68629669244693</v>
      </c>
      <c r="I106" s="3" t="s">
        <v>74</v>
      </c>
      <c r="J106" s="3">
        <v>0.2</v>
      </c>
      <c r="K106" s="3">
        <v>7.25</v>
      </c>
      <c r="L106" s="3">
        <v>0.25</v>
      </c>
      <c r="O106" s="3">
        <v>200</v>
      </c>
      <c r="P106" s="3">
        <v>6.7371151771479099</v>
      </c>
      <c r="R106" s="3">
        <v>10</v>
      </c>
      <c r="S106" s="4">
        <v>45141</v>
      </c>
      <c r="T106" s="3" t="s">
        <v>282</v>
      </c>
      <c r="U106" s="3" t="s">
        <v>412</v>
      </c>
      <c r="V106" s="11" t="s">
        <v>100</v>
      </c>
      <c r="W106" s="11">
        <v>15</v>
      </c>
      <c r="X106" s="11" t="s">
        <v>107</v>
      </c>
      <c r="Y106" s="11">
        <v>15</v>
      </c>
      <c r="Z106">
        <v>8</v>
      </c>
      <c r="AA106" t="s">
        <v>87</v>
      </c>
      <c r="AB106" t="s">
        <v>413</v>
      </c>
      <c r="AC106" s="3" t="s">
        <v>78</v>
      </c>
      <c r="AD106" s="3">
        <v>2</v>
      </c>
      <c r="AE106">
        <v>8</v>
      </c>
      <c r="AF106" t="s">
        <v>250</v>
      </c>
      <c r="AG106" t="s">
        <v>646</v>
      </c>
      <c r="AH106" s="17" t="s">
        <v>647</v>
      </c>
      <c r="AI106" t="s">
        <v>630</v>
      </c>
      <c r="AJ106" s="18" t="s">
        <v>631</v>
      </c>
      <c r="AO106" s="10">
        <v>0.43170599999999998</v>
      </c>
      <c r="AP106" s="3">
        <v>37</v>
      </c>
      <c r="AQ106" s="3">
        <f t="shared" si="3"/>
        <v>15.973122</v>
      </c>
      <c r="BE106" s="3" t="s">
        <v>79</v>
      </c>
      <c r="BF106" s="3" t="s">
        <v>415</v>
      </c>
      <c r="BG106" s="3" t="s">
        <v>186</v>
      </c>
      <c r="BH106" s="3" t="s">
        <v>186</v>
      </c>
      <c r="BI106" s="3" t="s">
        <v>186</v>
      </c>
      <c r="BJ106" s="3" t="s">
        <v>186</v>
      </c>
      <c r="BK106" s="3" t="s">
        <v>186</v>
      </c>
      <c r="BL106" s="3" t="s">
        <v>186</v>
      </c>
      <c r="BM106" s="3" t="s">
        <v>186</v>
      </c>
      <c r="BN106" s="3" t="s">
        <v>186</v>
      </c>
      <c r="BO106" s="3" t="s">
        <v>186</v>
      </c>
      <c r="BP106" s="3" t="s">
        <v>186</v>
      </c>
      <c r="BQ106" s="3" t="s">
        <v>186</v>
      </c>
      <c r="BR106" s="3" t="s">
        <v>186</v>
      </c>
      <c r="BS106" s="3" t="s">
        <v>186</v>
      </c>
      <c r="BT106" s="3" t="s">
        <v>186</v>
      </c>
      <c r="BU106" s="3" t="s">
        <v>186</v>
      </c>
      <c r="BV106" s="3" t="s">
        <v>186</v>
      </c>
      <c r="BW106" s="3" t="s">
        <v>186</v>
      </c>
      <c r="BX106" s="21" t="s">
        <v>417</v>
      </c>
      <c r="BY106" s="3" t="str">
        <f t="shared" si="5"/>
        <v>Och-A_RedoLibraries</v>
      </c>
      <c r="BZ106" s="3" t="str">
        <f t="shared" si="6"/>
        <v>E8</v>
      </c>
      <c r="CA106" s="3" t="str">
        <f t="shared" si="7"/>
        <v>Och-A</v>
      </c>
      <c r="CC106" s="3">
        <v>1.5</v>
      </c>
      <c r="CD106" t="s">
        <v>475</v>
      </c>
      <c r="CE106" s="21" t="str">
        <f t="shared" si="8"/>
        <v>OcA0101508E</v>
      </c>
      <c r="CF106" s="21" t="str">
        <f t="shared" si="9"/>
        <v>Och-ATum_015-Ex1-8E-lcwgs-2-1</v>
      </c>
      <c r="CG106" s="3">
        <f t="shared" ref="CG106:CG137" si="19">IF(ISNUMBER(BL106),(CC106/BN106)*BL106,CC106)</f>
        <v>1.5</v>
      </c>
      <c r="CH106">
        <v>57777</v>
      </c>
      <c r="CI106">
        <v>49781</v>
      </c>
      <c r="CJ106" t="s">
        <v>79</v>
      </c>
      <c r="CK106" s="3">
        <v>20.333719801385268</v>
      </c>
      <c r="CL106" t="s">
        <v>1200</v>
      </c>
      <c r="CM106" s="33" t="s">
        <v>1643</v>
      </c>
      <c r="CN106" s="3" t="str">
        <f t="shared" ref="CN106:CN122" si="20">B106&amp;"-"&amp;Z106&amp;AA106&amp;"-lcwgs-"&amp;C106&amp;"-2"</f>
        <v>Och-ATum_015-Ex1-8E-lcwgs-2-2</v>
      </c>
      <c r="CR106"/>
    </row>
    <row r="107" spans="1:96" x14ac:dyDescent="0.55000000000000004">
      <c r="A107" t="s">
        <v>216</v>
      </c>
      <c r="B107" t="s">
        <v>722</v>
      </c>
      <c r="C107" s="3">
        <v>2</v>
      </c>
      <c r="E107" t="s">
        <v>198</v>
      </c>
      <c r="F107">
        <v>4</v>
      </c>
      <c r="G107" t="s">
        <v>76</v>
      </c>
      <c r="H107">
        <v>4.5442611485930549</v>
      </c>
      <c r="I107" s="3" t="s">
        <v>74</v>
      </c>
      <c r="J107" s="3">
        <v>0.2</v>
      </c>
      <c r="K107" s="3">
        <v>7.25</v>
      </c>
      <c r="L107" s="3">
        <v>0.25</v>
      </c>
      <c r="O107" s="3">
        <v>200</v>
      </c>
      <c r="P107" s="3">
        <v>44.011555115383686</v>
      </c>
      <c r="R107" s="3">
        <v>10</v>
      </c>
      <c r="S107" s="4">
        <v>45141</v>
      </c>
      <c r="T107" s="3" t="s">
        <v>282</v>
      </c>
      <c r="U107" s="3" t="s">
        <v>412</v>
      </c>
      <c r="V107" s="11" t="s">
        <v>96</v>
      </c>
      <c r="W107" s="11">
        <v>8</v>
      </c>
      <c r="X107" s="11" t="s">
        <v>103</v>
      </c>
      <c r="Y107" s="11">
        <v>8</v>
      </c>
      <c r="Z107">
        <v>4</v>
      </c>
      <c r="AA107" t="s">
        <v>76</v>
      </c>
      <c r="AB107" t="s">
        <v>413</v>
      </c>
      <c r="AC107" s="3" t="s">
        <v>78</v>
      </c>
      <c r="AD107" s="3">
        <v>2</v>
      </c>
      <c r="AE107">
        <v>4</v>
      </c>
      <c r="AF107" t="s">
        <v>76</v>
      </c>
      <c r="AG107" t="s">
        <v>640</v>
      </c>
      <c r="AH107" s="17" t="s">
        <v>641</v>
      </c>
      <c r="AI107" t="s">
        <v>622</v>
      </c>
      <c r="AJ107" s="18" t="s">
        <v>623</v>
      </c>
      <c r="AO107" s="10">
        <v>2.0184150000000001</v>
      </c>
      <c r="AP107" s="3">
        <v>37</v>
      </c>
      <c r="AQ107" s="3">
        <f t="shared" si="3"/>
        <v>74.681354999999996</v>
      </c>
      <c r="BE107" s="3" t="s">
        <v>79</v>
      </c>
      <c r="BF107" s="3" t="s">
        <v>415</v>
      </c>
      <c r="BG107" s="3" t="s">
        <v>416</v>
      </c>
      <c r="BH107" s="3">
        <v>1</v>
      </c>
      <c r="BI107" s="3" t="str">
        <f>AA107&amp;Z107</f>
        <v>B4</v>
      </c>
      <c r="BJ107" s="3">
        <v>1</v>
      </c>
      <c r="BK107" s="3" t="str">
        <f>BR107&amp;BQ107</f>
        <v>H5</v>
      </c>
      <c r="BL107" s="10">
        <v>1.5</v>
      </c>
      <c r="BM107" s="3">
        <v>0.4</v>
      </c>
      <c r="BN107" s="3">
        <f>AO107*BL107/BM107</f>
        <v>7.56905625</v>
      </c>
      <c r="BO107" s="3">
        <f>BN107-BL107</f>
        <v>6.06905625</v>
      </c>
      <c r="BP107" s="3" t="s">
        <v>420</v>
      </c>
      <c r="BQ107">
        <v>5</v>
      </c>
      <c r="BR107" t="s">
        <v>92</v>
      </c>
      <c r="BS107" s="3">
        <v>1</v>
      </c>
      <c r="BT107" s="3" t="s">
        <v>418</v>
      </c>
      <c r="BU107" s="3">
        <v>1</v>
      </c>
      <c r="BV107" s="3" t="str">
        <f>BR107&amp;BQ107</f>
        <v>H5</v>
      </c>
      <c r="BW107" s="3">
        <f>BO107</f>
        <v>6.06905625</v>
      </c>
      <c r="BX107" s="21" t="s">
        <v>417</v>
      </c>
      <c r="BY107" s="3" t="str">
        <f t="shared" si="5"/>
        <v>Och-Mixed_Dilution Plate</v>
      </c>
      <c r="BZ107" s="3" t="str">
        <f t="shared" si="6"/>
        <v>H5</v>
      </c>
      <c r="CA107" s="3" t="str">
        <f t="shared" si="7"/>
        <v>Och-A</v>
      </c>
      <c r="CC107" s="3">
        <v>1.5</v>
      </c>
      <c r="CD107" t="s">
        <v>482</v>
      </c>
      <c r="CE107" s="21" t="str">
        <f t="shared" si="8"/>
        <v>OcA0101604B</v>
      </c>
      <c r="CF107" s="21" t="str">
        <f t="shared" si="9"/>
        <v>Och-ACat_016-Ex1-4B-lcwgs-2-1</v>
      </c>
      <c r="CG107" s="3">
        <f t="shared" si="19"/>
        <v>0.29726295137521275</v>
      </c>
      <c r="CH107">
        <v>2471007</v>
      </c>
      <c r="CI107">
        <v>1956699</v>
      </c>
      <c r="CJ107" s="27" t="s">
        <v>79</v>
      </c>
      <c r="CK107" s="3">
        <v>7.6428083366598135E-2</v>
      </c>
      <c r="CL107" t="s">
        <v>1198</v>
      </c>
      <c r="CM107" s="33" t="s">
        <v>1644</v>
      </c>
      <c r="CN107" s="3" t="str">
        <f t="shared" si="20"/>
        <v>Och-ACat_016-Ex1-4B-lcwgs-2-2</v>
      </c>
      <c r="CR107"/>
    </row>
    <row r="108" spans="1:96" x14ac:dyDescent="0.55000000000000004">
      <c r="A108" t="s">
        <v>258</v>
      </c>
      <c r="B108" t="s">
        <v>761</v>
      </c>
      <c r="C108" s="3">
        <v>2</v>
      </c>
      <c r="E108" t="s">
        <v>198</v>
      </c>
      <c r="F108">
        <v>9</v>
      </c>
      <c r="G108" t="s">
        <v>250</v>
      </c>
      <c r="H108">
        <v>26.174917722560473</v>
      </c>
      <c r="I108" s="3" t="s">
        <v>74</v>
      </c>
      <c r="J108" s="3">
        <v>0.2</v>
      </c>
      <c r="K108" s="3">
        <v>7.25</v>
      </c>
      <c r="L108" s="3">
        <v>0.25</v>
      </c>
      <c r="O108" s="3">
        <v>200</v>
      </c>
      <c r="P108" s="3">
        <v>7.6409027191561192</v>
      </c>
      <c r="R108" s="3">
        <v>10</v>
      </c>
      <c r="S108" s="4">
        <v>45141</v>
      </c>
      <c r="T108" s="3" t="s">
        <v>282</v>
      </c>
      <c r="U108" s="3" t="s">
        <v>412</v>
      </c>
      <c r="V108" s="11" t="s">
        <v>100</v>
      </c>
      <c r="W108" s="11">
        <v>17</v>
      </c>
      <c r="X108" s="11" t="s">
        <v>107</v>
      </c>
      <c r="Y108" s="11">
        <v>17</v>
      </c>
      <c r="Z108">
        <v>9</v>
      </c>
      <c r="AA108" t="s">
        <v>87</v>
      </c>
      <c r="AB108" t="s">
        <v>413</v>
      </c>
      <c r="AC108" s="3" t="s">
        <v>78</v>
      </c>
      <c r="AD108" s="3">
        <v>2</v>
      </c>
      <c r="AE108">
        <v>9</v>
      </c>
      <c r="AF108" t="s">
        <v>250</v>
      </c>
      <c r="AG108" t="s">
        <v>646</v>
      </c>
      <c r="AH108" s="17" t="s">
        <v>647</v>
      </c>
      <c r="AI108" t="s">
        <v>632</v>
      </c>
      <c r="AJ108" s="18" t="s">
        <v>633</v>
      </c>
      <c r="AO108" s="10">
        <v>3.5391889999999999</v>
      </c>
      <c r="AP108" s="3">
        <v>37</v>
      </c>
      <c r="AQ108" s="3">
        <f t="shared" si="3"/>
        <v>130.94999300000001</v>
      </c>
      <c r="BE108" s="3" t="s">
        <v>79</v>
      </c>
      <c r="BF108" s="3" t="s">
        <v>415</v>
      </c>
      <c r="BG108" s="3" t="s">
        <v>416</v>
      </c>
      <c r="BH108" s="3">
        <v>1</v>
      </c>
      <c r="BI108" s="3" t="str">
        <f>AA108&amp;Z108</f>
        <v>E9</v>
      </c>
      <c r="BJ108" s="3">
        <v>1</v>
      </c>
      <c r="BK108" s="3" t="str">
        <f>BR108&amp;BQ108</f>
        <v>D6</v>
      </c>
      <c r="BL108" s="10">
        <v>1.5</v>
      </c>
      <c r="BM108" s="3">
        <v>0.4</v>
      </c>
      <c r="BN108" s="3">
        <f>AO108*BL108/BM108</f>
        <v>13.271958749999998</v>
      </c>
      <c r="BO108" s="3">
        <f>BN108-BL108</f>
        <v>11.771958749999998</v>
      </c>
      <c r="BP108" s="3" t="s">
        <v>420</v>
      </c>
      <c r="BQ108">
        <v>6</v>
      </c>
      <c r="BR108" t="s">
        <v>84</v>
      </c>
      <c r="BS108" s="3">
        <v>1</v>
      </c>
      <c r="BT108" s="3" t="s">
        <v>418</v>
      </c>
      <c r="BU108" s="3">
        <v>1</v>
      </c>
      <c r="BV108" s="3" t="str">
        <f>BR108&amp;BQ108</f>
        <v>D6</v>
      </c>
      <c r="BW108" s="3">
        <f>BO108</f>
        <v>11.771958749999998</v>
      </c>
      <c r="BX108" s="21" t="s">
        <v>417</v>
      </c>
      <c r="BY108" s="3" t="str">
        <f t="shared" si="5"/>
        <v>Och-Mixed_Dilution Plate</v>
      </c>
      <c r="BZ108" s="3" t="str">
        <f t="shared" si="6"/>
        <v>D6</v>
      </c>
      <c r="CA108" s="3" t="str">
        <f t="shared" si="7"/>
        <v>Och-A</v>
      </c>
      <c r="CC108" s="3">
        <v>1.5</v>
      </c>
      <c r="CD108" t="s">
        <v>482</v>
      </c>
      <c r="CE108" s="21" t="str">
        <f t="shared" si="8"/>
        <v>OcA0101609E</v>
      </c>
      <c r="CF108" s="21" t="str">
        <f t="shared" si="9"/>
        <v>Och-ATum_016-Ex1-9E-lcwgs-2-1</v>
      </c>
      <c r="CG108" s="3">
        <f t="shared" si="19"/>
        <v>0.16953036415969877</v>
      </c>
      <c r="CH108">
        <v>2913077</v>
      </c>
      <c r="CI108">
        <v>2349043</v>
      </c>
      <c r="CJ108" t="s">
        <v>79</v>
      </c>
      <c r="CK108" s="3">
        <v>4.631046754183854E-2</v>
      </c>
      <c r="CL108" t="s">
        <v>1200</v>
      </c>
      <c r="CM108" s="33" t="s">
        <v>1645</v>
      </c>
      <c r="CN108" s="3" t="str">
        <f t="shared" si="20"/>
        <v>Och-ATum_016-Ex1-9E-lcwgs-2-2</v>
      </c>
      <c r="CR108"/>
    </row>
    <row r="109" spans="1:96" x14ac:dyDescent="0.55000000000000004">
      <c r="A109" t="s">
        <v>217</v>
      </c>
      <c r="B109" t="s">
        <v>723</v>
      </c>
      <c r="C109" s="3">
        <v>2</v>
      </c>
      <c r="E109" t="s">
        <v>198</v>
      </c>
      <c r="F109">
        <v>5</v>
      </c>
      <c r="G109" t="s">
        <v>76</v>
      </c>
      <c r="H109">
        <v>1.3738563435905875</v>
      </c>
      <c r="I109" s="3" t="s">
        <v>74</v>
      </c>
      <c r="J109" s="3">
        <v>0.2</v>
      </c>
      <c r="K109" s="3">
        <v>7.25</v>
      </c>
      <c r="L109" s="3">
        <v>0.25</v>
      </c>
      <c r="O109" s="3">
        <v>61.823535461576441</v>
      </c>
      <c r="P109" s="3">
        <v>45</v>
      </c>
      <c r="R109" s="3">
        <v>10</v>
      </c>
      <c r="S109" s="4">
        <v>45141</v>
      </c>
      <c r="T109" s="3" t="s">
        <v>282</v>
      </c>
      <c r="U109" s="3" t="s">
        <v>412</v>
      </c>
      <c r="V109" s="11" t="s">
        <v>96</v>
      </c>
      <c r="W109" s="11">
        <v>10</v>
      </c>
      <c r="X109" s="11" t="s">
        <v>103</v>
      </c>
      <c r="Y109" s="11">
        <v>10</v>
      </c>
      <c r="Z109">
        <v>5</v>
      </c>
      <c r="AA109" t="s">
        <v>76</v>
      </c>
      <c r="AB109" t="s">
        <v>413</v>
      </c>
      <c r="AC109" s="3" t="s">
        <v>78</v>
      </c>
      <c r="AD109" s="3">
        <v>2</v>
      </c>
      <c r="AE109">
        <v>5</v>
      </c>
      <c r="AF109" t="s">
        <v>76</v>
      </c>
      <c r="AG109" t="s">
        <v>640</v>
      </c>
      <c r="AH109" s="17" t="s">
        <v>641</v>
      </c>
      <c r="AI109" t="s">
        <v>624</v>
      </c>
      <c r="AJ109" s="18" t="s">
        <v>625</v>
      </c>
      <c r="AO109" s="10">
        <v>1.1305799999999999</v>
      </c>
      <c r="AP109" s="3">
        <v>37</v>
      </c>
      <c r="AQ109" s="3">
        <f t="shared" si="3"/>
        <v>41.83146</v>
      </c>
      <c r="BE109" s="3" t="s">
        <v>79</v>
      </c>
      <c r="BF109" s="3" t="s">
        <v>415</v>
      </c>
      <c r="BG109" s="3" t="s">
        <v>416</v>
      </c>
      <c r="BH109" s="3">
        <v>1</v>
      </c>
      <c r="BI109" s="3" t="str">
        <f>AA109&amp;Z109</f>
        <v>B5</v>
      </c>
      <c r="BJ109" s="3">
        <v>1</v>
      </c>
      <c r="BK109" s="3" t="str">
        <f>BR109&amp;BQ109</f>
        <v>G4</v>
      </c>
      <c r="BL109" s="10">
        <v>1.5</v>
      </c>
      <c r="BM109" s="3">
        <v>0.4</v>
      </c>
      <c r="BN109" s="3">
        <f>AO109*BL109/BM109</f>
        <v>4.2396749999999992</v>
      </c>
      <c r="BO109" s="3">
        <f>BN109-BL109</f>
        <v>2.7396749999999992</v>
      </c>
      <c r="BP109" s="3" t="s">
        <v>420</v>
      </c>
      <c r="BQ109">
        <v>4</v>
      </c>
      <c r="BR109" t="s">
        <v>91</v>
      </c>
      <c r="BS109" s="3">
        <v>1</v>
      </c>
      <c r="BT109" s="3" t="s">
        <v>418</v>
      </c>
      <c r="BU109" s="3">
        <v>1</v>
      </c>
      <c r="BV109" s="3" t="str">
        <f>BR109&amp;BQ109</f>
        <v>G4</v>
      </c>
      <c r="BW109" s="3">
        <f>BO109</f>
        <v>2.7396749999999992</v>
      </c>
      <c r="BX109" s="21" t="s">
        <v>417</v>
      </c>
      <c r="BY109" s="3" t="str">
        <f t="shared" si="5"/>
        <v>Och-Mixed_Dilution Plate</v>
      </c>
      <c r="BZ109" s="3" t="str">
        <f t="shared" si="6"/>
        <v>G4</v>
      </c>
      <c r="CA109" s="3" t="str">
        <f t="shared" si="7"/>
        <v>Och-A</v>
      </c>
      <c r="CC109" s="3">
        <v>1.5</v>
      </c>
      <c r="CD109" t="s">
        <v>489</v>
      </c>
      <c r="CE109" s="21" t="str">
        <f t="shared" si="8"/>
        <v>OcA0101705B</v>
      </c>
      <c r="CF109" s="21" t="str">
        <f t="shared" si="9"/>
        <v>Och-ACat_017-Ex1-5B-lcwgs-2-1</v>
      </c>
      <c r="CG109" s="3">
        <f t="shared" si="19"/>
        <v>0.53070105609510176</v>
      </c>
      <c r="CH109">
        <v>4549066</v>
      </c>
      <c r="CI109">
        <v>3408132</v>
      </c>
      <c r="CJ109" s="27" t="s">
        <v>79</v>
      </c>
      <c r="CK109" s="3">
        <v>7.6103979424124918E-2</v>
      </c>
      <c r="CL109" t="s">
        <v>1198</v>
      </c>
      <c r="CM109" s="33" t="s">
        <v>1646</v>
      </c>
      <c r="CN109" s="3" t="str">
        <f t="shared" si="20"/>
        <v>Och-ACat_017-Ex1-5B-lcwgs-2-2</v>
      </c>
      <c r="CR109"/>
    </row>
    <row r="110" spans="1:96" x14ac:dyDescent="0.55000000000000004">
      <c r="A110" t="s">
        <v>259</v>
      </c>
      <c r="B110" t="s">
        <v>762</v>
      </c>
      <c r="C110" s="3">
        <v>2</v>
      </c>
      <c r="E110" t="s">
        <v>198</v>
      </c>
      <c r="F110">
        <v>10</v>
      </c>
      <c r="G110" t="s">
        <v>250</v>
      </c>
      <c r="H110">
        <v>25.147297186111565</v>
      </c>
      <c r="I110" s="3" t="s">
        <v>74</v>
      </c>
      <c r="J110" s="3">
        <v>0.2</v>
      </c>
      <c r="K110" s="3">
        <v>7.25</v>
      </c>
      <c r="L110" s="3">
        <v>0.25</v>
      </c>
      <c r="O110" s="3">
        <v>200</v>
      </c>
      <c r="P110" s="3">
        <v>7.953140988466016</v>
      </c>
      <c r="R110" s="3">
        <v>10</v>
      </c>
      <c r="S110" s="4">
        <v>45141</v>
      </c>
      <c r="T110" s="3" t="s">
        <v>282</v>
      </c>
      <c r="U110" s="3" t="s">
        <v>412</v>
      </c>
      <c r="V110" s="11" t="s">
        <v>100</v>
      </c>
      <c r="W110" s="11">
        <v>19</v>
      </c>
      <c r="X110" s="11" t="s">
        <v>107</v>
      </c>
      <c r="Y110" s="11">
        <v>19</v>
      </c>
      <c r="Z110">
        <v>10</v>
      </c>
      <c r="AA110" t="s">
        <v>87</v>
      </c>
      <c r="AB110" t="s">
        <v>413</v>
      </c>
      <c r="AC110" s="3" t="s">
        <v>78</v>
      </c>
      <c r="AD110" s="3">
        <v>2</v>
      </c>
      <c r="AE110">
        <v>10</v>
      </c>
      <c r="AF110" t="s">
        <v>250</v>
      </c>
      <c r="AG110" t="s">
        <v>646</v>
      </c>
      <c r="AH110" s="17" t="s">
        <v>647</v>
      </c>
      <c r="AI110" t="s">
        <v>634</v>
      </c>
      <c r="AJ110" s="18" t="s">
        <v>635</v>
      </c>
      <c r="AO110" s="10">
        <v>2.1913320000000001</v>
      </c>
      <c r="AP110" s="3">
        <v>37</v>
      </c>
      <c r="AQ110" s="3">
        <f t="shared" si="3"/>
        <v>81.079284000000001</v>
      </c>
      <c r="BE110" s="3" t="s">
        <v>79</v>
      </c>
      <c r="BF110" s="3" t="s">
        <v>415</v>
      </c>
      <c r="BG110" s="3" t="s">
        <v>416</v>
      </c>
      <c r="BH110" s="3">
        <v>1</v>
      </c>
      <c r="BI110" s="3" t="str">
        <f>AA110&amp;Z110</f>
        <v>E10</v>
      </c>
      <c r="BJ110" s="3">
        <v>1</v>
      </c>
      <c r="BK110" s="3" t="str">
        <f>BR110&amp;BQ110</f>
        <v>A6</v>
      </c>
      <c r="BL110" s="10">
        <v>1.5</v>
      </c>
      <c r="BM110" s="3">
        <v>0.4</v>
      </c>
      <c r="BN110" s="3">
        <f>AO110*BL110/BM110</f>
        <v>8.2174949999999995</v>
      </c>
      <c r="BO110" s="3">
        <f>BN110-BL110</f>
        <v>6.7174949999999995</v>
      </c>
      <c r="BP110" s="3" t="s">
        <v>420</v>
      </c>
      <c r="BQ110">
        <v>6</v>
      </c>
      <c r="BR110" t="s">
        <v>73</v>
      </c>
      <c r="BS110" s="3">
        <v>1</v>
      </c>
      <c r="BT110" s="3" t="s">
        <v>418</v>
      </c>
      <c r="BU110" s="3">
        <v>1</v>
      </c>
      <c r="BV110" s="3" t="str">
        <f>BR110&amp;BQ110</f>
        <v>A6</v>
      </c>
      <c r="BW110" s="3">
        <f>BO110</f>
        <v>6.7174949999999995</v>
      </c>
      <c r="BX110" s="21" t="s">
        <v>417</v>
      </c>
      <c r="BY110" s="3" t="str">
        <f t="shared" si="5"/>
        <v>Och-Mixed_Dilution Plate</v>
      </c>
      <c r="BZ110" s="3" t="str">
        <f t="shared" si="6"/>
        <v>A6</v>
      </c>
      <c r="CA110" s="3" t="str">
        <f t="shared" si="7"/>
        <v>Och-A</v>
      </c>
      <c r="CC110" s="3">
        <v>1.5</v>
      </c>
      <c r="CD110" t="s">
        <v>489</v>
      </c>
      <c r="CE110" s="21" t="str">
        <f t="shared" si="8"/>
        <v>OcA0101710E</v>
      </c>
      <c r="CF110" s="21" t="str">
        <f t="shared" si="9"/>
        <v>Och-ATum_017-Ex1-10E-lcwgs-2-1</v>
      </c>
      <c r="CG110" s="3">
        <f t="shared" si="19"/>
        <v>0.27380606863770529</v>
      </c>
      <c r="CH110">
        <v>2434366</v>
      </c>
      <c r="CI110">
        <v>1827576</v>
      </c>
      <c r="CJ110" t="s">
        <v>79</v>
      </c>
      <c r="CK110" s="3">
        <v>9.7262842919025691E-2</v>
      </c>
      <c r="CL110" t="s">
        <v>1200</v>
      </c>
      <c r="CM110" s="33" t="s">
        <v>1647</v>
      </c>
      <c r="CN110" s="3" t="str">
        <f t="shared" si="20"/>
        <v>Och-ATum_017-Ex1-10E-lcwgs-2-2</v>
      </c>
      <c r="CR110"/>
    </row>
    <row r="111" spans="1:96" x14ac:dyDescent="0.55000000000000004">
      <c r="A111" t="s">
        <v>218</v>
      </c>
      <c r="B111" t="s">
        <v>724</v>
      </c>
      <c r="C111" s="3">
        <v>2</v>
      </c>
      <c r="E111" t="s">
        <v>198</v>
      </c>
      <c r="F111">
        <v>6</v>
      </c>
      <c r="G111" t="s">
        <v>76</v>
      </c>
      <c r="H111">
        <v>13.303077176238276</v>
      </c>
      <c r="I111" s="3" t="s">
        <v>74</v>
      </c>
      <c r="J111" s="3">
        <v>0.2</v>
      </c>
      <c r="K111" s="3">
        <v>7.25</v>
      </c>
      <c r="L111" s="3">
        <v>0.25</v>
      </c>
      <c r="O111" s="3">
        <v>200</v>
      </c>
      <c r="P111" s="3">
        <v>15.034115592235796</v>
      </c>
      <c r="R111" s="3">
        <v>10</v>
      </c>
      <c r="S111" s="4">
        <v>45141</v>
      </c>
      <c r="T111" s="3" t="s">
        <v>282</v>
      </c>
      <c r="U111" s="3" t="s">
        <v>412</v>
      </c>
      <c r="V111" s="11" t="s">
        <v>96</v>
      </c>
      <c r="W111" s="11">
        <v>12</v>
      </c>
      <c r="X111" s="11" t="s">
        <v>103</v>
      </c>
      <c r="Y111" s="11">
        <v>12</v>
      </c>
      <c r="Z111">
        <v>6</v>
      </c>
      <c r="AA111" t="s">
        <v>76</v>
      </c>
      <c r="AB111" t="s">
        <v>413</v>
      </c>
      <c r="AC111" s="3" t="s">
        <v>78</v>
      </c>
      <c r="AD111" s="3">
        <v>2</v>
      </c>
      <c r="AE111">
        <v>6</v>
      </c>
      <c r="AF111" t="s">
        <v>76</v>
      </c>
      <c r="AG111" t="s">
        <v>640</v>
      </c>
      <c r="AH111" s="17" t="s">
        <v>641</v>
      </c>
      <c r="AI111" t="s">
        <v>626</v>
      </c>
      <c r="AJ111" s="18" t="s">
        <v>627</v>
      </c>
      <c r="AO111" s="10">
        <v>0.59382199999999996</v>
      </c>
      <c r="AP111" s="3">
        <v>37</v>
      </c>
      <c r="AQ111" s="3">
        <f t="shared" si="3"/>
        <v>21.971413999999999</v>
      </c>
      <c r="BE111" s="3" t="s">
        <v>79</v>
      </c>
      <c r="BF111" s="3" t="s">
        <v>415</v>
      </c>
      <c r="BG111" s="3" t="s">
        <v>416</v>
      </c>
      <c r="BH111" s="3">
        <v>1</v>
      </c>
      <c r="BI111" s="3" t="str">
        <f>AA111&amp;Z111</f>
        <v>B6</v>
      </c>
      <c r="BJ111" s="3">
        <v>1</v>
      </c>
      <c r="BK111" s="3" t="str">
        <f>BR111&amp;BQ111</f>
        <v>F1</v>
      </c>
      <c r="BL111" s="10">
        <v>1.5</v>
      </c>
      <c r="BM111" s="3">
        <v>0.4</v>
      </c>
      <c r="BN111" s="3">
        <f>AO111*BL111/BM111</f>
        <v>2.2268325</v>
      </c>
      <c r="BO111" s="3">
        <f>BN111-BL111</f>
        <v>0.72683249999999999</v>
      </c>
      <c r="BP111" s="3" t="s">
        <v>420</v>
      </c>
      <c r="BQ111">
        <v>1</v>
      </c>
      <c r="BR111" t="s">
        <v>88</v>
      </c>
      <c r="BS111" s="3">
        <v>1</v>
      </c>
      <c r="BT111" s="3" t="s">
        <v>418</v>
      </c>
      <c r="BU111" s="3">
        <v>1</v>
      </c>
      <c r="BV111" s="3" t="str">
        <f>BR111&amp;BQ111</f>
        <v>F1</v>
      </c>
      <c r="BW111" s="3">
        <f>BO111</f>
        <v>0.72683249999999999</v>
      </c>
      <c r="BX111" s="21" t="s">
        <v>417</v>
      </c>
      <c r="BY111" s="3" t="str">
        <f t="shared" si="5"/>
        <v>Och-Mixed_Dilution Plate</v>
      </c>
      <c r="BZ111" s="3" t="str">
        <f t="shared" si="6"/>
        <v>F1</v>
      </c>
      <c r="CA111" s="3" t="str">
        <f t="shared" si="7"/>
        <v>Och-A</v>
      </c>
      <c r="CC111" s="3">
        <v>1.5</v>
      </c>
      <c r="CD111" t="s">
        <v>496</v>
      </c>
      <c r="CE111" s="21" t="str">
        <f t="shared" si="8"/>
        <v>OcA0101806B</v>
      </c>
      <c r="CF111" s="21" t="str">
        <f t="shared" si="9"/>
        <v>Och-ACat_018-Ex1-6B-lcwgs-2-1</v>
      </c>
      <c r="CG111" s="3">
        <f t="shared" si="19"/>
        <v>1.0104037910350241</v>
      </c>
      <c r="CH111">
        <v>1924058</v>
      </c>
      <c r="CI111">
        <v>1431322</v>
      </c>
      <c r="CJ111" s="27" t="s">
        <v>79</v>
      </c>
      <c r="CK111" s="3">
        <v>0.35880041890851866</v>
      </c>
      <c r="CL111" t="s">
        <v>1198</v>
      </c>
      <c r="CM111" s="33" t="s">
        <v>1648</v>
      </c>
      <c r="CN111" s="3" t="str">
        <f t="shared" si="20"/>
        <v>Och-ACat_018-Ex1-6B-lcwgs-2-2</v>
      </c>
      <c r="CR111"/>
    </row>
    <row r="112" spans="1:96" x14ac:dyDescent="0.55000000000000004">
      <c r="A112" t="s">
        <v>260</v>
      </c>
      <c r="B112" t="s">
        <v>763</v>
      </c>
      <c r="C112" s="3">
        <v>2</v>
      </c>
      <c r="E112" t="s">
        <v>198</v>
      </c>
      <c r="F112">
        <v>11</v>
      </c>
      <c r="G112" t="s">
        <v>250</v>
      </c>
      <c r="H112">
        <v>10.814365640941253</v>
      </c>
      <c r="I112" s="3" t="s">
        <v>74</v>
      </c>
      <c r="J112" s="3">
        <v>0.2</v>
      </c>
      <c r="K112" s="3">
        <v>7.25</v>
      </c>
      <c r="L112" s="3">
        <v>0.25</v>
      </c>
      <c r="O112" s="3">
        <v>200</v>
      </c>
      <c r="P112" s="3">
        <v>18.49391879657146</v>
      </c>
      <c r="R112" s="3">
        <v>10</v>
      </c>
      <c r="S112" s="4">
        <v>45141</v>
      </c>
      <c r="T112" s="3" t="s">
        <v>282</v>
      </c>
      <c r="U112" s="3" t="s">
        <v>412</v>
      </c>
      <c r="V112" s="11" t="s">
        <v>100</v>
      </c>
      <c r="W112" s="11">
        <v>21</v>
      </c>
      <c r="X112" s="11" t="s">
        <v>107</v>
      </c>
      <c r="Y112" s="11">
        <v>21</v>
      </c>
      <c r="Z112">
        <v>11</v>
      </c>
      <c r="AA112" t="s">
        <v>87</v>
      </c>
      <c r="AB112" t="s">
        <v>413</v>
      </c>
      <c r="AC112" s="3" t="s">
        <v>78</v>
      </c>
      <c r="AD112" s="3">
        <v>2</v>
      </c>
      <c r="AE112">
        <v>11</v>
      </c>
      <c r="AF112" t="s">
        <v>250</v>
      </c>
      <c r="AG112" t="s">
        <v>646</v>
      </c>
      <c r="AH112" s="17" t="s">
        <v>647</v>
      </c>
      <c r="AI112" t="s">
        <v>636</v>
      </c>
      <c r="AJ112" s="18" t="s">
        <v>637</v>
      </c>
      <c r="AO112" s="10">
        <v>0.46510600000000002</v>
      </c>
      <c r="AP112" s="3">
        <v>37</v>
      </c>
      <c r="AQ112" s="3">
        <f t="shared" si="3"/>
        <v>17.208922000000001</v>
      </c>
      <c r="BE112" s="3" t="s">
        <v>79</v>
      </c>
      <c r="BF112" s="3" t="s">
        <v>415</v>
      </c>
      <c r="BG112" s="3" t="s">
        <v>186</v>
      </c>
      <c r="BH112" s="3" t="s">
        <v>186</v>
      </c>
      <c r="BI112" s="3" t="s">
        <v>186</v>
      </c>
      <c r="BJ112" s="3" t="s">
        <v>186</v>
      </c>
      <c r="BK112" s="3" t="s">
        <v>186</v>
      </c>
      <c r="BL112" s="3" t="s">
        <v>186</v>
      </c>
      <c r="BM112" s="3" t="s">
        <v>186</v>
      </c>
      <c r="BN112" s="3" t="s">
        <v>186</v>
      </c>
      <c r="BO112" s="3" t="s">
        <v>186</v>
      </c>
      <c r="BP112" s="3" t="s">
        <v>186</v>
      </c>
      <c r="BQ112" s="3" t="s">
        <v>186</v>
      </c>
      <c r="BR112" s="3" t="s">
        <v>186</v>
      </c>
      <c r="BS112" s="3" t="s">
        <v>186</v>
      </c>
      <c r="BT112" s="3" t="s">
        <v>186</v>
      </c>
      <c r="BU112" s="3" t="s">
        <v>186</v>
      </c>
      <c r="BV112" s="3" t="s">
        <v>186</v>
      </c>
      <c r="BW112" s="3" t="s">
        <v>186</v>
      </c>
      <c r="BX112" s="21" t="s">
        <v>417</v>
      </c>
      <c r="BY112" s="3" t="str">
        <f t="shared" si="5"/>
        <v>Och-A_RedoLibraries</v>
      </c>
      <c r="BZ112" s="3" t="str">
        <f t="shared" si="6"/>
        <v>E11</v>
      </c>
      <c r="CA112" s="3" t="str">
        <f t="shared" si="7"/>
        <v>Och-A</v>
      </c>
      <c r="CC112" s="3">
        <v>1.5</v>
      </c>
      <c r="CD112" t="s">
        <v>496</v>
      </c>
      <c r="CE112" s="21" t="str">
        <f t="shared" si="8"/>
        <v>OcA0101811E</v>
      </c>
      <c r="CF112" s="21" t="str">
        <f t="shared" si="9"/>
        <v>Och-ATum_018-Ex1-11E-lcwgs-2-1</v>
      </c>
      <c r="CG112" s="3">
        <f t="shared" si="19"/>
        <v>1.5</v>
      </c>
      <c r="CH112">
        <v>38358</v>
      </c>
      <c r="CI112">
        <v>30451</v>
      </c>
      <c r="CJ112" t="s">
        <v>79</v>
      </c>
      <c r="CK112" s="3">
        <v>33.255090704965333</v>
      </c>
      <c r="CL112" t="s">
        <v>1200</v>
      </c>
      <c r="CM112" s="33" t="s">
        <v>1649</v>
      </c>
      <c r="CN112" s="3" t="str">
        <f t="shared" si="20"/>
        <v>Och-ATum_018-Ex1-11E-lcwgs-2-2</v>
      </c>
      <c r="CR112"/>
    </row>
    <row r="113" spans="1:1020" x14ac:dyDescent="0.55000000000000004">
      <c r="A113" t="s">
        <v>219</v>
      </c>
      <c r="B113" t="s">
        <v>725</v>
      </c>
      <c r="C113" s="3">
        <v>2</v>
      </c>
      <c r="E113" t="s">
        <v>198</v>
      </c>
      <c r="F113">
        <v>7</v>
      </c>
      <c r="G113" t="s">
        <v>76</v>
      </c>
      <c r="H113">
        <v>7.5436358400526569</v>
      </c>
      <c r="I113" s="3" t="s">
        <v>74</v>
      </c>
      <c r="J113" s="3">
        <v>0.2</v>
      </c>
      <c r="K113" s="3">
        <v>7.25</v>
      </c>
      <c r="L113" s="3">
        <v>0.25</v>
      </c>
      <c r="O113" s="3">
        <v>200</v>
      </c>
      <c r="P113" s="3">
        <v>26.512414469705359</v>
      </c>
      <c r="R113" s="3">
        <v>10</v>
      </c>
      <c r="S113" s="4">
        <v>45141</v>
      </c>
      <c r="T113" s="3" t="s">
        <v>282</v>
      </c>
      <c r="U113" s="3" t="s">
        <v>412</v>
      </c>
      <c r="V113" s="11" t="s">
        <v>96</v>
      </c>
      <c r="W113" s="11">
        <v>14</v>
      </c>
      <c r="X113" s="11" t="s">
        <v>103</v>
      </c>
      <c r="Y113" s="11">
        <v>14</v>
      </c>
      <c r="Z113">
        <v>7</v>
      </c>
      <c r="AA113" t="s">
        <v>76</v>
      </c>
      <c r="AB113" t="s">
        <v>413</v>
      </c>
      <c r="AC113" s="3" t="s">
        <v>78</v>
      </c>
      <c r="AD113" s="3">
        <v>2</v>
      </c>
      <c r="AE113">
        <v>7</v>
      </c>
      <c r="AF113" t="s">
        <v>76</v>
      </c>
      <c r="AG113" t="s">
        <v>640</v>
      </c>
      <c r="AH113" s="17" t="s">
        <v>641</v>
      </c>
      <c r="AI113" t="s">
        <v>628</v>
      </c>
      <c r="AJ113" s="18" t="s">
        <v>629</v>
      </c>
      <c r="AO113" s="10">
        <v>0.79231499999999999</v>
      </c>
      <c r="AP113" s="3">
        <v>37</v>
      </c>
      <c r="AQ113" s="3">
        <f t="shared" si="3"/>
        <v>29.315655</v>
      </c>
      <c r="BE113" s="3" t="s">
        <v>79</v>
      </c>
      <c r="BF113" s="3" t="s">
        <v>415</v>
      </c>
      <c r="BG113" s="3" t="s">
        <v>416</v>
      </c>
      <c r="BH113" s="3">
        <v>1</v>
      </c>
      <c r="BI113" s="3" t="str">
        <f>AA113&amp;Z113</f>
        <v>B7</v>
      </c>
      <c r="BJ113" s="3">
        <v>1</v>
      </c>
      <c r="BK113" s="3" t="str">
        <f>BR113&amp;BQ113</f>
        <v>G3</v>
      </c>
      <c r="BL113" s="10">
        <v>1.5</v>
      </c>
      <c r="BM113" s="3">
        <v>0.4</v>
      </c>
      <c r="BN113" s="3">
        <f>AO113*BL113/BM113</f>
        <v>2.9711812499999999</v>
      </c>
      <c r="BO113" s="3">
        <f>BN113-BL113</f>
        <v>1.4711812499999999</v>
      </c>
      <c r="BP113" s="3" t="s">
        <v>420</v>
      </c>
      <c r="BQ113">
        <v>3</v>
      </c>
      <c r="BR113" t="s">
        <v>91</v>
      </c>
      <c r="BS113" s="3">
        <v>1</v>
      </c>
      <c r="BT113" s="3" t="s">
        <v>418</v>
      </c>
      <c r="BU113" s="3">
        <v>1</v>
      </c>
      <c r="BV113" s="3" t="str">
        <f>BR113&amp;BQ113</f>
        <v>G3</v>
      </c>
      <c r="BW113" s="3">
        <f>BO113</f>
        <v>1.4711812499999999</v>
      </c>
      <c r="BX113" s="21" t="s">
        <v>417</v>
      </c>
      <c r="BY113" s="3" t="str">
        <f t="shared" si="5"/>
        <v>Och-Mixed_Dilution Plate</v>
      </c>
      <c r="BZ113" s="3" t="str">
        <f t="shared" si="6"/>
        <v>G3</v>
      </c>
      <c r="CA113" s="3" t="str">
        <f t="shared" si="7"/>
        <v>Och-A</v>
      </c>
      <c r="CC113" s="3">
        <v>1.5</v>
      </c>
      <c r="CD113" t="s">
        <v>499</v>
      </c>
      <c r="CE113" s="21" t="str">
        <f t="shared" si="8"/>
        <v>OcA0101907B</v>
      </c>
      <c r="CF113" s="21" t="str">
        <f t="shared" si="9"/>
        <v>Och-ACat_019-Ex1-7B-lcwgs-2-1</v>
      </c>
      <c r="CG113" s="3">
        <f t="shared" si="19"/>
        <v>0.75727456882679234</v>
      </c>
      <c r="CH113">
        <v>2910119</v>
      </c>
      <c r="CI113">
        <v>2228832</v>
      </c>
      <c r="CJ113" s="27" t="s">
        <v>79</v>
      </c>
      <c r="CK113" s="3">
        <v>0.17001388886159016</v>
      </c>
      <c r="CL113" t="s">
        <v>1198</v>
      </c>
      <c r="CM113" s="33" t="s">
        <v>1650</v>
      </c>
      <c r="CN113" s="3" t="str">
        <f t="shared" si="20"/>
        <v>Och-ACat_019-Ex1-7B-lcwgs-2-2</v>
      </c>
      <c r="CR113"/>
    </row>
    <row r="114" spans="1:1020" x14ac:dyDescent="0.55000000000000004">
      <c r="A114" t="s">
        <v>261</v>
      </c>
      <c r="B114" t="s">
        <v>764</v>
      </c>
      <c r="C114" s="3">
        <v>2</v>
      </c>
      <c r="E114" t="s">
        <v>198</v>
      </c>
      <c r="F114">
        <v>12</v>
      </c>
      <c r="G114" t="s">
        <v>250</v>
      </c>
      <c r="H114">
        <v>19.928126542701989</v>
      </c>
      <c r="I114" s="3" t="s">
        <v>74</v>
      </c>
      <c r="J114" s="3">
        <v>0.2</v>
      </c>
      <c r="K114" s="3">
        <v>7.25</v>
      </c>
      <c r="L114" s="3">
        <v>0.25</v>
      </c>
      <c r="O114" s="3">
        <v>200</v>
      </c>
      <c r="P114" s="3">
        <v>10.036066339273789</v>
      </c>
      <c r="R114" s="3">
        <v>10</v>
      </c>
      <c r="S114" s="4">
        <v>45141</v>
      </c>
      <c r="T114" s="3" t="s">
        <v>282</v>
      </c>
      <c r="U114" s="3" t="s">
        <v>412</v>
      </c>
      <c r="V114" s="11" t="s">
        <v>100</v>
      </c>
      <c r="W114" s="11">
        <v>23</v>
      </c>
      <c r="X114" s="11" t="s">
        <v>107</v>
      </c>
      <c r="Y114" s="11">
        <v>23</v>
      </c>
      <c r="Z114">
        <v>12</v>
      </c>
      <c r="AA114" t="s">
        <v>87</v>
      </c>
      <c r="AB114" t="s">
        <v>413</v>
      </c>
      <c r="AC114" s="3" t="s">
        <v>78</v>
      </c>
      <c r="AD114" s="3">
        <v>2</v>
      </c>
      <c r="AE114">
        <v>12</v>
      </c>
      <c r="AF114" t="s">
        <v>250</v>
      </c>
      <c r="AG114" t="s">
        <v>646</v>
      </c>
      <c r="AH114" s="17" t="s">
        <v>647</v>
      </c>
      <c r="AI114" t="s">
        <v>638</v>
      </c>
      <c r="AJ114" s="18" t="s">
        <v>639</v>
      </c>
      <c r="AO114" s="10">
        <v>0.62129900000000005</v>
      </c>
      <c r="AP114" s="3">
        <v>37</v>
      </c>
      <c r="AQ114" s="3">
        <f t="shared" si="3"/>
        <v>22.988063</v>
      </c>
      <c r="BE114" s="3" t="s">
        <v>79</v>
      </c>
      <c r="BF114" s="3" t="s">
        <v>415</v>
      </c>
      <c r="BG114" s="3" t="s">
        <v>416</v>
      </c>
      <c r="BH114" s="3">
        <v>1</v>
      </c>
      <c r="BI114" s="3" t="str">
        <f>AA114&amp;Z114</f>
        <v>E12</v>
      </c>
      <c r="BJ114" s="3">
        <v>1</v>
      </c>
      <c r="BK114" s="3" t="str">
        <f>BR114&amp;BQ114</f>
        <v>E2</v>
      </c>
      <c r="BL114" s="10">
        <v>1.5</v>
      </c>
      <c r="BM114" s="3">
        <v>0.4</v>
      </c>
      <c r="BN114" s="3">
        <f>AO114*BL114/BM114</f>
        <v>2.3298712500000001</v>
      </c>
      <c r="BO114" s="3">
        <f>BN114-BL114</f>
        <v>0.82987125000000006</v>
      </c>
      <c r="BP114" s="3" t="s">
        <v>420</v>
      </c>
      <c r="BQ114">
        <v>2</v>
      </c>
      <c r="BR114" t="s">
        <v>87</v>
      </c>
      <c r="BS114" s="3">
        <v>1</v>
      </c>
      <c r="BT114" s="3" t="s">
        <v>418</v>
      </c>
      <c r="BU114" s="3">
        <v>1</v>
      </c>
      <c r="BV114" s="3" t="str">
        <f>BR114&amp;BQ114</f>
        <v>E2</v>
      </c>
      <c r="BW114" s="3">
        <f>BO114</f>
        <v>0.82987125000000006</v>
      </c>
      <c r="BX114" s="21" t="s">
        <v>417</v>
      </c>
      <c r="BY114" s="3" t="str">
        <f t="shared" si="5"/>
        <v>Och-Mixed_Dilution Plate</v>
      </c>
      <c r="BZ114" s="3" t="str">
        <f t="shared" si="6"/>
        <v>E2</v>
      </c>
      <c r="CA114" s="3" t="str">
        <f t="shared" si="7"/>
        <v>Och-A</v>
      </c>
      <c r="CC114" s="3">
        <v>1.5</v>
      </c>
      <c r="CD114" t="s">
        <v>499</v>
      </c>
      <c r="CE114" s="21" t="str">
        <f t="shared" si="8"/>
        <v>OcA0101912E</v>
      </c>
      <c r="CF114" s="21" t="str">
        <f t="shared" si="9"/>
        <v>Och-ATum_019-Ex1-12E-lcwgs-2-1</v>
      </c>
      <c r="CG114" s="3">
        <f t="shared" si="19"/>
        <v>0.96571859925736225</v>
      </c>
      <c r="CH114">
        <v>3262591</v>
      </c>
      <c r="CI114">
        <v>2516301</v>
      </c>
      <c r="CJ114" t="s">
        <v>79</v>
      </c>
      <c r="CK114" s="3">
        <v>0.24534441751840388</v>
      </c>
      <c r="CL114" t="s">
        <v>1200</v>
      </c>
      <c r="CM114" s="33" t="s">
        <v>1651</v>
      </c>
      <c r="CN114" s="3" t="str">
        <f t="shared" si="20"/>
        <v>Och-ATum_019-Ex1-12E-lcwgs-2-2</v>
      </c>
      <c r="CR114"/>
    </row>
    <row r="115" spans="1:1020" x14ac:dyDescent="0.55000000000000004">
      <c r="A115" t="s">
        <v>262</v>
      </c>
      <c r="B115" t="s">
        <v>765</v>
      </c>
      <c r="C115" s="3">
        <v>2</v>
      </c>
      <c r="E115" t="s">
        <v>198</v>
      </c>
      <c r="F115">
        <v>1</v>
      </c>
      <c r="G115" t="s">
        <v>88</v>
      </c>
      <c r="H115">
        <v>16.656812571992759</v>
      </c>
      <c r="I115" s="3" t="s">
        <v>74</v>
      </c>
      <c r="J115" s="3">
        <v>0.2</v>
      </c>
      <c r="K115" s="3">
        <v>7.25</v>
      </c>
      <c r="L115" s="3">
        <v>0.25</v>
      </c>
      <c r="O115" s="3">
        <v>200</v>
      </c>
      <c r="P115" s="3">
        <v>12.007099145504327</v>
      </c>
      <c r="R115" s="3">
        <v>10</v>
      </c>
      <c r="S115" s="4">
        <v>45141</v>
      </c>
      <c r="T115" s="3" t="s">
        <v>282</v>
      </c>
      <c r="U115" s="3" t="s">
        <v>412</v>
      </c>
      <c r="V115" s="11" t="s">
        <v>100</v>
      </c>
      <c r="W115" s="11">
        <v>2</v>
      </c>
      <c r="X115" s="11" t="s">
        <v>107</v>
      </c>
      <c r="Y115" s="11">
        <v>2</v>
      </c>
      <c r="Z115">
        <v>1</v>
      </c>
      <c r="AA115" t="s">
        <v>88</v>
      </c>
      <c r="AB115" t="s">
        <v>413</v>
      </c>
      <c r="AC115" s="3" t="s">
        <v>78</v>
      </c>
      <c r="AD115" s="3">
        <v>2</v>
      </c>
      <c r="AE115">
        <v>1</v>
      </c>
      <c r="AF115" t="s">
        <v>88</v>
      </c>
      <c r="AG115" t="s">
        <v>648</v>
      </c>
      <c r="AH115" s="17" t="s">
        <v>649</v>
      </c>
      <c r="AI115" t="s">
        <v>616</v>
      </c>
      <c r="AJ115" s="18" t="s">
        <v>617</v>
      </c>
      <c r="AO115" s="10">
        <v>1.834762</v>
      </c>
      <c r="AP115" s="3">
        <v>37</v>
      </c>
      <c r="AQ115" s="3">
        <f t="shared" si="3"/>
        <v>67.886194000000003</v>
      </c>
      <c r="BE115" s="3" t="s">
        <v>79</v>
      </c>
      <c r="BF115" s="3" t="s">
        <v>415</v>
      </c>
      <c r="BG115" s="3" t="s">
        <v>416</v>
      </c>
      <c r="BH115" s="3">
        <v>1</v>
      </c>
      <c r="BI115" s="3" t="str">
        <f>AA115&amp;Z115</f>
        <v>F1</v>
      </c>
      <c r="BJ115" s="3">
        <v>1</v>
      </c>
      <c r="BK115" s="3" t="str">
        <f>BR115&amp;BQ115</f>
        <v>G5</v>
      </c>
      <c r="BL115" s="10">
        <v>1.5</v>
      </c>
      <c r="BM115" s="3">
        <v>0.4</v>
      </c>
      <c r="BN115" s="3">
        <f>AO115*BL115/BM115</f>
        <v>6.8803575000000006</v>
      </c>
      <c r="BO115" s="3">
        <f>BN115-BL115</f>
        <v>5.3803575000000006</v>
      </c>
      <c r="BP115" s="3" t="s">
        <v>420</v>
      </c>
      <c r="BQ115">
        <v>5</v>
      </c>
      <c r="BR115" t="s">
        <v>91</v>
      </c>
      <c r="BS115" s="3">
        <v>1</v>
      </c>
      <c r="BT115" s="3" t="s">
        <v>418</v>
      </c>
      <c r="BU115" s="3">
        <v>1</v>
      </c>
      <c r="BV115" s="3" t="str">
        <f>BR115&amp;BQ115</f>
        <v>G5</v>
      </c>
      <c r="BW115" s="3">
        <f>BO115</f>
        <v>5.3803575000000006</v>
      </c>
      <c r="BX115" s="21" t="s">
        <v>417</v>
      </c>
      <c r="BY115" s="3" t="str">
        <f t="shared" si="5"/>
        <v>Och-Mixed_Dilution Plate</v>
      </c>
      <c r="BZ115" s="3" t="str">
        <f t="shared" si="6"/>
        <v>G5</v>
      </c>
      <c r="CA115" s="3" t="str">
        <f t="shared" si="7"/>
        <v>Och-A</v>
      </c>
      <c r="CC115" s="3">
        <v>1.5</v>
      </c>
      <c r="CD115" t="s">
        <v>465</v>
      </c>
      <c r="CE115" s="21" t="str">
        <f t="shared" si="8"/>
        <v>OcA0102001F</v>
      </c>
      <c r="CF115" s="21" t="str">
        <f t="shared" si="9"/>
        <v>Och-ATum_020-Ex1-1F-lcwgs-2-1</v>
      </c>
      <c r="CG115" s="3">
        <f t="shared" si="19"/>
        <v>0.32701789114882474</v>
      </c>
      <c r="CH115">
        <v>3280009</v>
      </c>
      <c r="CI115">
        <v>2642807</v>
      </c>
      <c r="CJ115" t="s">
        <v>79</v>
      </c>
      <c r="CK115" s="3">
        <v>7.8877640678072958E-2</v>
      </c>
      <c r="CL115" t="s">
        <v>1200</v>
      </c>
      <c r="CM115" s="33" t="s">
        <v>1653</v>
      </c>
      <c r="CN115" s="3" t="str">
        <f t="shared" si="20"/>
        <v>Och-ATum_020-Ex1-1F-lcwgs-2-2</v>
      </c>
      <c r="CR115"/>
    </row>
    <row r="116" spans="1:1020" x14ac:dyDescent="0.55000000000000004">
      <c r="A116" t="s">
        <v>220</v>
      </c>
      <c r="B116" t="s">
        <v>726</v>
      </c>
      <c r="C116" s="3">
        <v>2</v>
      </c>
      <c r="E116" t="s">
        <v>198</v>
      </c>
      <c r="F116">
        <v>8</v>
      </c>
      <c r="G116" t="s">
        <v>76</v>
      </c>
      <c r="H116">
        <v>7.6090217212440336</v>
      </c>
      <c r="I116" s="3" t="s">
        <v>74</v>
      </c>
      <c r="J116" s="3">
        <v>0.2</v>
      </c>
      <c r="K116" s="3">
        <v>7.25</v>
      </c>
      <c r="L116" s="3">
        <v>0.25</v>
      </c>
      <c r="O116" s="3">
        <v>200</v>
      </c>
      <c r="P116" s="3">
        <v>26.2845878651666</v>
      </c>
      <c r="R116" s="3">
        <v>10</v>
      </c>
      <c r="S116" s="4">
        <v>45141</v>
      </c>
      <c r="T116" s="3" t="s">
        <v>282</v>
      </c>
      <c r="U116" s="3" t="s">
        <v>412</v>
      </c>
      <c r="V116" s="11" t="s">
        <v>96</v>
      </c>
      <c r="W116" s="11">
        <v>16</v>
      </c>
      <c r="X116" s="11" t="s">
        <v>103</v>
      </c>
      <c r="Y116" s="11">
        <v>16</v>
      </c>
      <c r="Z116">
        <v>8</v>
      </c>
      <c r="AA116" t="s">
        <v>76</v>
      </c>
      <c r="AB116" t="s">
        <v>413</v>
      </c>
      <c r="AC116" s="3" t="s">
        <v>78</v>
      </c>
      <c r="AD116" s="3">
        <v>2</v>
      </c>
      <c r="AE116">
        <v>8</v>
      </c>
      <c r="AF116" t="s">
        <v>76</v>
      </c>
      <c r="AG116" t="s">
        <v>640</v>
      </c>
      <c r="AH116" s="17" t="s">
        <v>641</v>
      </c>
      <c r="AI116" t="s">
        <v>630</v>
      </c>
      <c r="AJ116" s="18" t="s">
        <v>631</v>
      </c>
      <c r="AO116" s="10">
        <v>0.41785800000000001</v>
      </c>
      <c r="AP116" s="3">
        <v>37</v>
      </c>
      <c r="AQ116" s="3">
        <f t="shared" si="3"/>
        <v>15.460746</v>
      </c>
      <c r="BE116" s="3" t="s">
        <v>79</v>
      </c>
      <c r="BF116" s="3" t="s">
        <v>415</v>
      </c>
      <c r="BG116" s="3" t="s">
        <v>186</v>
      </c>
      <c r="BH116" s="3" t="s">
        <v>186</v>
      </c>
      <c r="BI116" s="3" t="s">
        <v>186</v>
      </c>
      <c r="BJ116" s="3" t="s">
        <v>186</v>
      </c>
      <c r="BK116" s="3" t="s">
        <v>186</v>
      </c>
      <c r="BL116" s="3" t="s">
        <v>186</v>
      </c>
      <c r="BM116" s="3" t="s">
        <v>186</v>
      </c>
      <c r="BN116" s="3" t="s">
        <v>186</v>
      </c>
      <c r="BO116" s="3" t="s">
        <v>186</v>
      </c>
      <c r="BP116" s="3" t="s">
        <v>186</v>
      </c>
      <c r="BQ116" s="3" t="s">
        <v>186</v>
      </c>
      <c r="BR116" s="3" t="s">
        <v>186</v>
      </c>
      <c r="BS116" s="3" t="s">
        <v>186</v>
      </c>
      <c r="BT116" s="3" t="s">
        <v>186</v>
      </c>
      <c r="BU116" s="3" t="s">
        <v>186</v>
      </c>
      <c r="BV116" s="3" t="s">
        <v>186</v>
      </c>
      <c r="BW116" s="3" t="s">
        <v>186</v>
      </c>
      <c r="BX116" s="21" t="s">
        <v>417</v>
      </c>
      <c r="BY116" s="3" t="str">
        <f t="shared" si="5"/>
        <v>Och-A_RedoLibraries</v>
      </c>
      <c r="BZ116" s="3" t="str">
        <f t="shared" si="6"/>
        <v>B8</v>
      </c>
      <c r="CA116" s="3" t="str">
        <f t="shared" si="7"/>
        <v>Och-A</v>
      </c>
      <c r="CC116" s="3">
        <v>1.5</v>
      </c>
      <c r="CD116" t="s">
        <v>465</v>
      </c>
      <c r="CE116" s="21" t="str">
        <f t="shared" si="8"/>
        <v>OcA0102008B</v>
      </c>
      <c r="CF116" s="21" t="str">
        <f t="shared" si="9"/>
        <v>Och-ACat_020-Ex1-8B-lcwgs-2-1</v>
      </c>
      <c r="CG116" s="3">
        <f t="shared" si="19"/>
        <v>1.5</v>
      </c>
      <c r="CH116">
        <v>1329361</v>
      </c>
      <c r="CI116">
        <v>1051844</v>
      </c>
      <c r="CJ116" s="27" t="s">
        <v>79</v>
      </c>
      <c r="CK116" s="3">
        <v>0.73017642628364987</v>
      </c>
      <c r="CL116" t="s">
        <v>1198</v>
      </c>
      <c r="CM116" s="33" t="s">
        <v>1652</v>
      </c>
      <c r="CN116" s="3" t="str">
        <f t="shared" si="20"/>
        <v>Och-ACat_020-Ex1-8B-lcwgs-2-2</v>
      </c>
      <c r="CR116"/>
    </row>
    <row r="117" spans="1:1020" x14ac:dyDescent="0.55000000000000004">
      <c r="A117" t="s">
        <v>263</v>
      </c>
      <c r="B117" t="s">
        <v>766</v>
      </c>
      <c r="C117" s="3">
        <v>2</v>
      </c>
      <c r="E117" t="s">
        <v>198</v>
      </c>
      <c r="F117">
        <v>2</v>
      </c>
      <c r="G117" t="s">
        <v>88</v>
      </c>
      <c r="H117">
        <v>11.092434589435577</v>
      </c>
      <c r="I117" s="3" t="s">
        <v>74</v>
      </c>
      <c r="J117" s="3">
        <v>0.2</v>
      </c>
      <c r="K117" s="3">
        <v>7.25</v>
      </c>
      <c r="L117" s="3">
        <v>0.25</v>
      </c>
      <c r="O117" s="3">
        <v>200</v>
      </c>
      <c r="P117" s="3">
        <v>18.030306907599869</v>
      </c>
      <c r="R117" s="3">
        <v>10</v>
      </c>
      <c r="S117" s="4">
        <v>45141</v>
      </c>
      <c r="T117" s="3" t="s">
        <v>282</v>
      </c>
      <c r="U117" s="3" t="s">
        <v>412</v>
      </c>
      <c r="V117" s="11" t="s">
        <v>100</v>
      </c>
      <c r="W117" s="11">
        <v>4</v>
      </c>
      <c r="X117" s="11" t="s">
        <v>107</v>
      </c>
      <c r="Y117" s="11">
        <v>4</v>
      </c>
      <c r="Z117">
        <v>2</v>
      </c>
      <c r="AA117" t="s">
        <v>88</v>
      </c>
      <c r="AB117" t="s">
        <v>413</v>
      </c>
      <c r="AC117" s="3" t="s">
        <v>78</v>
      </c>
      <c r="AD117" s="3">
        <v>2</v>
      </c>
      <c r="AE117">
        <v>2</v>
      </c>
      <c r="AF117" t="s">
        <v>88</v>
      </c>
      <c r="AG117" t="s">
        <v>648</v>
      </c>
      <c r="AH117" s="17" t="s">
        <v>649</v>
      </c>
      <c r="AI117" t="s">
        <v>618</v>
      </c>
      <c r="AJ117" s="18" t="s">
        <v>619</v>
      </c>
      <c r="AO117" s="10">
        <v>0.60253500000000004</v>
      </c>
      <c r="AP117" s="3">
        <v>37</v>
      </c>
      <c r="AQ117" s="3">
        <f t="shared" si="3"/>
        <v>22.293795000000003</v>
      </c>
      <c r="BE117" s="3" t="s">
        <v>79</v>
      </c>
      <c r="BF117" s="3" t="s">
        <v>415</v>
      </c>
      <c r="BG117" s="3" t="s">
        <v>416</v>
      </c>
      <c r="BH117" s="3">
        <v>1</v>
      </c>
      <c r="BI117" s="3" t="str">
        <f>AA117&amp;Z117</f>
        <v>F2</v>
      </c>
      <c r="BJ117" s="3">
        <v>1</v>
      </c>
      <c r="BK117" s="3" t="str">
        <f>BR117&amp;BQ117</f>
        <v>G1</v>
      </c>
      <c r="BL117" s="10">
        <v>1.5</v>
      </c>
      <c r="BM117" s="3">
        <v>0.4</v>
      </c>
      <c r="BN117" s="3">
        <f>AO117*BL117/BM117</f>
        <v>2.2595062499999998</v>
      </c>
      <c r="BO117" s="3">
        <f>BN117-BL117</f>
        <v>0.75950624999999983</v>
      </c>
      <c r="BP117" s="3" t="s">
        <v>420</v>
      </c>
      <c r="BQ117">
        <v>1</v>
      </c>
      <c r="BR117" t="s">
        <v>91</v>
      </c>
      <c r="BS117" s="3">
        <v>1</v>
      </c>
      <c r="BT117" s="3" t="s">
        <v>418</v>
      </c>
      <c r="BU117" s="3">
        <v>1</v>
      </c>
      <c r="BV117" s="3" t="str">
        <f>BR117&amp;BQ117</f>
        <v>G1</v>
      </c>
      <c r="BW117" s="3">
        <f>BO117</f>
        <v>0.75950624999999983</v>
      </c>
      <c r="BX117" s="21" t="s">
        <v>417</v>
      </c>
      <c r="BY117" s="3" t="str">
        <f t="shared" si="5"/>
        <v>Och-Mixed_Dilution Plate</v>
      </c>
      <c r="BZ117" s="3" t="str">
        <f t="shared" si="6"/>
        <v>G1</v>
      </c>
      <c r="CA117" s="3" t="str">
        <f t="shared" si="7"/>
        <v>Och-A</v>
      </c>
      <c r="CC117" s="3">
        <v>1.5</v>
      </c>
      <c r="CD117" t="s">
        <v>472</v>
      </c>
      <c r="CE117" s="21" t="str">
        <f t="shared" si="8"/>
        <v>OcA0102102F</v>
      </c>
      <c r="CF117" s="21" t="str">
        <f t="shared" si="9"/>
        <v>Och-ATum_021-Ex1-2F-lcwgs-2-1</v>
      </c>
      <c r="CG117" s="3">
        <f t="shared" si="19"/>
        <v>0.99579277552341361</v>
      </c>
      <c r="CH117">
        <v>5760970</v>
      </c>
      <c r="CI117">
        <v>4484953</v>
      </c>
      <c r="CJ117" t="s">
        <v>79</v>
      </c>
      <c r="CK117" s="3">
        <v>0.13563892772814867</v>
      </c>
      <c r="CL117" t="s">
        <v>1200</v>
      </c>
      <c r="CM117" s="33" t="s">
        <v>1655</v>
      </c>
      <c r="CN117" s="3" t="str">
        <f t="shared" si="20"/>
        <v>Och-ATum_021-Ex1-2F-lcwgs-2-2</v>
      </c>
      <c r="CR117"/>
    </row>
    <row r="118" spans="1:1020" x14ac:dyDescent="0.55000000000000004">
      <c r="A118" t="s">
        <v>221</v>
      </c>
      <c r="B118" t="s">
        <v>727</v>
      </c>
      <c r="C118" s="3">
        <v>2</v>
      </c>
      <c r="E118" t="s">
        <v>198</v>
      </c>
      <c r="F118">
        <v>9</v>
      </c>
      <c r="G118" t="s">
        <v>76</v>
      </c>
      <c r="H118">
        <v>6.0396782952114521</v>
      </c>
      <c r="I118" s="3" t="s">
        <v>74</v>
      </c>
      <c r="J118" s="3">
        <v>0.2</v>
      </c>
      <c r="K118" s="3">
        <v>7.25</v>
      </c>
      <c r="L118" s="3">
        <v>0.25</v>
      </c>
      <c r="O118" s="3">
        <v>200</v>
      </c>
      <c r="P118" s="3">
        <v>33.114346530438489</v>
      </c>
      <c r="R118" s="3">
        <v>10</v>
      </c>
      <c r="S118" s="4">
        <v>45141</v>
      </c>
      <c r="T118" s="3" t="s">
        <v>282</v>
      </c>
      <c r="U118" s="3" t="s">
        <v>412</v>
      </c>
      <c r="V118" s="11" t="s">
        <v>96</v>
      </c>
      <c r="W118" s="11">
        <v>18</v>
      </c>
      <c r="X118" s="11" t="s">
        <v>103</v>
      </c>
      <c r="Y118" s="11">
        <v>18</v>
      </c>
      <c r="Z118">
        <v>9</v>
      </c>
      <c r="AA118" t="s">
        <v>76</v>
      </c>
      <c r="AB118" t="s">
        <v>413</v>
      </c>
      <c r="AC118" s="3" t="s">
        <v>78</v>
      </c>
      <c r="AD118" s="3">
        <v>2</v>
      </c>
      <c r="AE118">
        <v>9</v>
      </c>
      <c r="AF118" t="s">
        <v>76</v>
      </c>
      <c r="AG118" t="s">
        <v>640</v>
      </c>
      <c r="AH118" s="17" t="s">
        <v>641</v>
      </c>
      <c r="AI118" t="s">
        <v>632</v>
      </c>
      <c r="AJ118" s="18" t="s">
        <v>633</v>
      </c>
      <c r="AO118" s="10">
        <v>0.91990499999999997</v>
      </c>
      <c r="AP118" s="3">
        <v>37</v>
      </c>
      <c r="AQ118" s="3">
        <f t="shared" si="3"/>
        <v>34.036484999999999</v>
      </c>
      <c r="BE118" s="3" t="s">
        <v>79</v>
      </c>
      <c r="BF118" s="3" t="s">
        <v>415</v>
      </c>
      <c r="BG118" s="3" t="s">
        <v>416</v>
      </c>
      <c r="BH118" s="3">
        <v>1</v>
      </c>
      <c r="BI118" s="3" t="str">
        <f>AA118&amp;Z118</f>
        <v>B9</v>
      </c>
      <c r="BJ118" s="3">
        <v>1</v>
      </c>
      <c r="BK118" s="3" t="str">
        <f>BR118&amp;BQ118</f>
        <v>B4</v>
      </c>
      <c r="BL118" s="10">
        <v>1.5</v>
      </c>
      <c r="BM118" s="3">
        <v>0.4</v>
      </c>
      <c r="BN118" s="3">
        <f>AO118*BL118/BM118</f>
        <v>3.4496437499999999</v>
      </c>
      <c r="BO118" s="3">
        <f>BN118-BL118</f>
        <v>1.9496437499999999</v>
      </c>
      <c r="BP118" s="3" t="s">
        <v>420</v>
      </c>
      <c r="BQ118">
        <v>4</v>
      </c>
      <c r="BR118" t="s">
        <v>76</v>
      </c>
      <c r="BS118" s="3">
        <v>1</v>
      </c>
      <c r="BT118" s="3" t="s">
        <v>418</v>
      </c>
      <c r="BU118" s="3">
        <v>1</v>
      </c>
      <c r="BV118" s="3" t="str">
        <f>BR118&amp;BQ118</f>
        <v>B4</v>
      </c>
      <c r="BW118" s="3">
        <f>BO118</f>
        <v>1.9496437499999999</v>
      </c>
      <c r="BX118" s="21" t="s">
        <v>417</v>
      </c>
      <c r="BY118" s="3" t="str">
        <f t="shared" si="5"/>
        <v>Och-Mixed_Dilution Plate</v>
      </c>
      <c r="BZ118" s="3" t="str">
        <f t="shared" si="6"/>
        <v>B4</v>
      </c>
      <c r="CA118" s="3" t="str">
        <f t="shared" si="7"/>
        <v>Och-A</v>
      </c>
      <c r="CC118" s="3">
        <v>1.5</v>
      </c>
      <c r="CD118" t="s">
        <v>472</v>
      </c>
      <c r="CE118" s="21" t="str">
        <f t="shared" si="8"/>
        <v>OcA0102109B</v>
      </c>
      <c r="CF118" s="21" t="str">
        <f t="shared" si="9"/>
        <v>Och-ACat_021-Ex1-9B-lcwgs-2-1</v>
      </c>
      <c r="CG118" s="3">
        <f t="shared" si="19"/>
        <v>0.65224126404356975</v>
      </c>
      <c r="CH118">
        <v>3352292</v>
      </c>
      <c r="CI118">
        <v>2409270</v>
      </c>
      <c r="CJ118" s="27" t="s">
        <v>79</v>
      </c>
      <c r="CK118" s="3">
        <v>0.13498352819070558</v>
      </c>
      <c r="CL118" t="s">
        <v>1198</v>
      </c>
      <c r="CM118" s="33" t="s">
        <v>1654</v>
      </c>
      <c r="CN118" s="3" t="str">
        <f t="shared" si="20"/>
        <v>Och-ACat_021-Ex1-9B-lcwgs-2-2</v>
      </c>
      <c r="CR118"/>
    </row>
    <row r="119" spans="1:1020" x14ac:dyDescent="0.55000000000000004">
      <c r="A119" t="s">
        <v>264</v>
      </c>
      <c r="B119" t="s">
        <v>767</v>
      </c>
      <c r="C119" s="3">
        <v>2</v>
      </c>
      <c r="E119" t="s">
        <v>198</v>
      </c>
      <c r="F119">
        <v>3</v>
      </c>
      <c r="G119" t="s">
        <v>88</v>
      </c>
      <c r="H119">
        <v>7.6011559980253409</v>
      </c>
      <c r="I119" s="3" t="s">
        <v>74</v>
      </c>
      <c r="J119" s="3">
        <v>0.2</v>
      </c>
      <c r="K119" s="3">
        <v>7.25</v>
      </c>
      <c r="L119" s="3">
        <v>0.25</v>
      </c>
      <c r="O119" s="3">
        <v>200</v>
      </c>
      <c r="P119" s="3">
        <v>26.311787319186294</v>
      </c>
      <c r="R119" s="3">
        <v>10</v>
      </c>
      <c r="S119" s="4">
        <v>45141</v>
      </c>
      <c r="T119" s="3" t="s">
        <v>282</v>
      </c>
      <c r="U119" s="3" t="s">
        <v>412</v>
      </c>
      <c r="V119" s="11" t="s">
        <v>100</v>
      </c>
      <c r="W119" s="11">
        <v>6</v>
      </c>
      <c r="X119" s="11" t="s">
        <v>107</v>
      </c>
      <c r="Y119" s="11">
        <v>6</v>
      </c>
      <c r="Z119">
        <v>3</v>
      </c>
      <c r="AA119" t="s">
        <v>88</v>
      </c>
      <c r="AB119" t="s">
        <v>413</v>
      </c>
      <c r="AC119" s="3" t="s">
        <v>78</v>
      </c>
      <c r="AD119" s="3">
        <v>2</v>
      </c>
      <c r="AE119">
        <v>3</v>
      </c>
      <c r="AF119" t="s">
        <v>88</v>
      </c>
      <c r="AG119" t="s">
        <v>648</v>
      </c>
      <c r="AH119" s="17" t="s">
        <v>649</v>
      </c>
      <c r="AI119" t="s">
        <v>620</v>
      </c>
      <c r="AJ119" s="18" t="s">
        <v>621</v>
      </c>
      <c r="AO119" s="10">
        <v>0.85983900000000002</v>
      </c>
      <c r="AP119" s="3">
        <v>37</v>
      </c>
      <c r="AQ119" s="3">
        <f t="shared" si="3"/>
        <v>31.814043000000002</v>
      </c>
      <c r="BE119" s="3" t="s">
        <v>79</v>
      </c>
      <c r="BF119" s="3" t="s">
        <v>415</v>
      </c>
      <c r="BG119" s="3" t="s">
        <v>416</v>
      </c>
      <c r="BH119" s="3">
        <v>1</v>
      </c>
      <c r="BI119" s="3" t="str">
        <f>AA119&amp;Z119</f>
        <v>F3</v>
      </c>
      <c r="BJ119" s="3">
        <v>1</v>
      </c>
      <c r="BK119" s="3" t="str">
        <f>BR119&amp;BQ119</f>
        <v>H3</v>
      </c>
      <c r="BL119" s="10">
        <v>1.5</v>
      </c>
      <c r="BM119" s="3">
        <v>0.4</v>
      </c>
      <c r="BN119" s="3">
        <f>AO119*BL119/BM119</f>
        <v>3.2243962499999999</v>
      </c>
      <c r="BO119" s="3">
        <f>BN119-BL119</f>
        <v>1.7243962499999999</v>
      </c>
      <c r="BP119" s="3" t="s">
        <v>420</v>
      </c>
      <c r="BQ119">
        <v>3</v>
      </c>
      <c r="BR119" t="s">
        <v>92</v>
      </c>
      <c r="BS119" s="3">
        <v>1</v>
      </c>
      <c r="BT119" s="3" t="s">
        <v>418</v>
      </c>
      <c r="BU119" s="3">
        <v>1</v>
      </c>
      <c r="BV119" s="3" t="str">
        <f>BR119&amp;BQ119</f>
        <v>H3</v>
      </c>
      <c r="BW119" s="3">
        <f>BO119</f>
        <v>1.7243962499999999</v>
      </c>
      <c r="BX119" s="21" t="s">
        <v>417</v>
      </c>
      <c r="BY119" s="3" t="str">
        <f t="shared" si="5"/>
        <v>Och-Mixed_Dilution Plate</v>
      </c>
      <c r="BZ119" s="3" t="str">
        <f t="shared" si="6"/>
        <v>H3</v>
      </c>
      <c r="CA119" s="3" t="str">
        <f t="shared" si="7"/>
        <v>Och-A</v>
      </c>
      <c r="CC119" s="3">
        <v>1.5</v>
      </c>
      <c r="CD119" t="s">
        <v>479</v>
      </c>
      <c r="CE119" s="21" t="str">
        <f t="shared" si="8"/>
        <v>OcA0102203F</v>
      </c>
      <c r="CF119" s="21" t="str">
        <f t="shared" si="9"/>
        <v>Och-ATum_022-Ex1-3F-lcwgs-2-1</v>
      </c>
      <c r="CG119" s="3">
        <f t="shared" si="19"/>
        <v>0.69780505420200756</v>
      </c>
      <c r="CH119">
        <v>3325570</v>
      </c>
      <c r="CI119">
        <v>2604362</v>
      </c>
      <c r="CJ119" t="s">
        <v>79</v>
      </c>
      <c r="CK119" s="3">
        <v>0.17094559587121672</v>
      </c>
      <c r="CL119" t="s">
        <v>1200</v>
      </c>
      <c r="CM119" s="33" t="s">
        <v>1657</v>
      </c>
      <c r="CN119" s="3" t="str">
        <f t="shared" si="20"/>
        <v>Och-ATum_022-Ex1-3F-lcwgs-2-2</v>
      </c>
      <c r="CR119"/>
    </row>
    <row r="120" spans="1:1020" x14ac:dyDescent="0.55000000000000004">
      <c r="A120" t="s">
        <v>222</v>
      </c>
      <c r="B120" t="s">
        <v>728</v>
      </c>
      <c r="C120" s="3">
        <v>2</v>
      </c>
      <c r="E120" t="s">
        <v>198</v>
      </c>
      <c r="F120">
        <v>10</v>
      </c>
      <c r="G120" t="s">
        <v>76</v>
      </c>
      <c r="H120">
        <v>0.78574954747408254</v>
      </c>
      <c r="I120" s="3" t="s">
        <v>74</v>
      </c>
      <c r="J120" s="3">
        <v>0.2</v>
      </c>
      <c r="K120" s="3">
        <v>7.25</v>
      </c>
      <c r="L120" s="3">
        <v>0.25</v>
      </c>
      <c r="O120" s="3">
        <v>35.358729636333713</v>
      </c>
      <c r="P120" s="3">
        <v>45</v>
      </c>
      <c r="R120" s="3">
        <v>10</v>
      </c>
      <c r="S120" s="4">
        <v>45141</v>
      </c>
      <c r="T120" s="3" t="s">
        <v>282</v>
      </c>
      <c r="U120" s="3" t="s">
        <v>412</v>
      </c>
      <c r="V120" s="11" t="s">
        <v>96</v>
      </c>
      <c r="W120" s="11">
        <v>20</v>
      </c>
      <c r="X120" s="11" t="s">
        <v>103</v>
      </c>
      <c r="Y120" s="11">
        <v>20</v>
      </c>
      <c r="Z120">
        <v>10</v>
      </c>
      <c r="AA120" t="s">
        <v>76</v>
      </c>
      <c r="AB120" t="s">
        <v>413</v>
      </c>
      <c r="AC120" s="3" t="s">
        <v>78</v>
      </c>
      <c r="AD120" s="3">
        <v>2</v>
      </c>
      <c r="AE120">
        <v>10</v>
      </c>
      <c r="AF120" t="s">
        <v>76</v>
      </c>
      <c r="AG120" t="s">
        <v>640</v>
      </c>
      <c r="AH120" s="17" t="s">
        <v>641</v>
      </c>
      <c r="AI120" t="s">
        <v>634</v>
      </c>
      <c r="AJ120" s="18" t="s">
        <v>635</v>
      </c>
      <c r="AO120" s="10">
        <v>0.406856</v>
      </c>
      <c r="AP120" s="3">
        <v>37</v>
      </c>
      <c r="AQ120" s="3">
        <f t="shared" si="3"/>
        <v>15.053672000000001</v>
      </c>
      <c r="BE120" s="3" t="s">
        <v>79</v>
      </c>
      <c r="BF120" s="3" t="s">
        <v>415</v>
      </c>
      <c r="BG120" s="3" t="s">
        <v>186</v>
      </c>
      <c r="BH120" s="3" t="s">
        <v>186</v>
      </c>
      <c r="BI120" s="3" t="s">
        <v>186</v>
      </c>
      <c r="BJ120" s="3" t="s">
        <v>186</v>
      </c>
      <c r="BK120" s="3" t="s">
        <v>186</v>
      </c>
      <c r="BL120" s="3" t="s">
        <v>186</v>
      </c>
      <c r="BM120" s="3" t="s">
        <v>186</v>
      </c>
      <c r="BN120" s="3" t="s">
        <v>186</v>
      </c>
      <c r="BO120" s="3" t="s">
        <v>186</v>
      </c>
      <c r="BP120" s="3" t="s">
        <v>186</v>
      </c>
      <c r="BQ120" s="3" t="s">
        <v>186</v>
      </c>
      <c r="BR120" s="3" t="s">
        <v>186</v>
      </c>
      <c r="BS120" s="3" t="s">
        <v>186</v>
      </c>
      <c r="BT120" s="3" t="s">
        <v>186</v>
      </c>
      <c r="BU120" s="3" t="s">
        <v>186</v>
      </c>
      <c r="BV120" s="3" t="s">
        <v>186</v>
      </c>
      <c r="BW120" s="3" t="s">
        <v>186</v>
      </c>
      <c r="BX120" s="21" t="s">
        <v>417</v>
      </c>
      <c r="BY120" s="3" t="str">
        <f t="shared" si="5"/>
        <v>Och-A_RedoLibraries</v>
      </c>
      <c r="BZ120" s="3" t="str">
        <f t="shared" si="6"/>
        <v>B10</v>
      </c>
      <c r="CA120" s="3" t="str">
        <f t="shared" si="7"/>
        <v>Och-A</v>
      </c>
      <c r="CC120" s="3">
        <v>1.5</v>
      </c>
      <c r="CD120" t="s">
        <v>479</v>
      </c>
      <c r="CE120" s="21" t="str">
        <f t="shared" si="8"/>
        <v>OcA0102210B</v>
      </c>
      <c r="CF120" s="21" t="str">
        <f t="shared" si="9"/>
        <v>Och-ACat_022-Ex1-10B-lcwgs-2-1</v>
      </c>
      <c r="CG120" s="3">
        <f t="shared" si="19"/>
        <v>1.5</v>
      </c>
      <c r="CH120">
        <v>2958868</v>
      </c>
      <c r="CI120">
        <v>2081438</v>
      </c>
      <c r="CJ120" s="27" t="s">
        <v>79</v>
      </c>
      <c r="CK120" s="3">
        <v>0.36165836092871945</v>
      </c>
      <c r="CL120" t="s">
        <v>1198</v>
      </c>
      <c r="CM120" s="33" t="s">
        <v>1656</v>
      </c>
      <c r="CN120" s="3" t="str">
        <f t="shared" si="20"/>
        <v>Och-ACat_022-Ex1-10B-lcwgs-2-2</v>
      </c>
      <c r="CR120"/>
    </row>
    <row r="121" spans="1:1020" x14ac:dyDescent="0.55000000000000004">
      <c r="A121" t="s">
        <v>265</v>
      </c>
      <c r="B121" t="s">
        <v>785</v>
      </c>
      <c r="C121" s="3">
        <v>2</v>
      </c>
      <c r="E121" t="s">
        <v>198</v>
      </c>
      <c r="F121">
        <v>4</v>
      </c>
      <c r="G121" t="s">
        <v>88</v>
      </c>
      <c r="H121">
        <v>10.456553398058251</v>
      </c>
      <c r="I121" s="3" t="s">
        <v>74</v>
      </c>
      <c r="J121" s="3">
        <v>0.2</v>
      </c>
      <c r="K121" s="3">
        <v>7.25</v>
      </c>
      <c r="L121" s="3">
        <v>0.25</v>
      </c>
      <c r="O121" s="3">
        <v>200</v>
      </c>
      <c r="P121" s="3">
        <v>19.126761217241942</v>
      </c>
      <c r="R121" s="3">
        <v>10</v>
      </c>
      <c r="S121" s="4">
        <v>45141</v>
      </c>
      <c r="T121" s="3" t="s">
        <v>282</v>
      </c>
      <c r="U121" s="3" t="s">
        <v>412</v>
      </c>
      <c r="V121" s="11" t="s">
        <v>100</v>
      </c>
      <c r="W121" s="11">
        <v>8</v>
      </c>
      <c r="X121" s="11" t="s">
        <v>107</v>
      </c>
      <c r="Y121" s="11">
        <v>8</v>
      </c>
      <c r="Z121">
        <v>4</v>
      </c>
      <c r="AA121" t="s">
        <v>88</v>
      </c>
      <c r="AB121" t="s">
        <v>413</v>
      </c>
      <c r="AC121" s="3" t="s">
        <v>78</v>
      </c>
      <c r="AD121" s="3">
        <v>2</v>
      </c>
      <c r="AE121">
        <v>4</v>
      </c>
      <c r="AF121" t="s">
        <v>88</v>
      </c>
      <c r="AG121" t="s">
        <v>648</v>
      </c>
      <c r="AH121" s="17" t="s">
        <v>649</v>
      </c>
      <c r="AI121" t="s">
        <v>622</v>
      </c>
      <c r="AJ121" s="18" t="s">
        <v>623</v>
      </c>
      <c r="AO121" s="10">
        <v>0.33799000000000001</v>
      </c>
      <c r="AP121" s="3">
        <v>37</v>
      </c>
      <c r="AQ121" s="3">
        <f t="shared" si="3"/>
        <v>12.50563</v>
      </c>
      <c r="BE121" s="3" t="s">
        <v>79</v>
      </c>
      <c r="BF121" s="3" t="s">
        <v>415</v>
      </c>
      <c r="BG121" s="3" t="s">
        <v>186</v>
      </c>
      <c r="BH121" s="3" t="s">
        <v>186</v>
      </c>
      <c r="BI121" s="3" t="s">
        <v>186</v>
      </c>
      <c r="BJ121" s="3" t="s">
        <v>186</v>
      </c>
      <c r="BK121" s="3" t="s">
        <v>186</v>
      </c>
      <c r="BL121" s="3" t="s">
        <v>186</v>
      </c>
      <c r="BM121" s="3" t="s">
        <v>186</v>
      </c>
      <c r="BN121" s="3" t="s">
        <v>186</v>
      </c>
      <c r="BO121" s="3" t="s">
        <v>186</v>
      </c>
      <c r="BP121" s="3" t="s">
        <v>186</v>
      </c>
      <c r="BQ121" s="3" t="s">
        <v>186</v>
      </c>
      <c r="BR121" s="3" t="s">
        <v>186</v>
      </c>
      <c r="BS121" s="3" t="s">
        <v>186</v>
      </c>
      <c r="BT121" s="3" t="s">
        <v>186</v>
      </c>
      <c r="BU121" s="3" t="s">
        <v>186</v>
      </c>
      <c r="BV121" s="3" t="s">
        <v>186</v>
      </c>
      <c r="BW121" s="3" t="s">
        <v>186</v>
      </c>
      <c r="BX121" s="21" t="s">
        <v>417</v>
      </c>
      <c r="BY121" s="3" t="str">
        <f t="shared" si="5"/>
        <v>Och-A_RedoLibraries</v>
      </c>
      <c r="BZ121" s="3" t="str">
        <f t="shared" si="6"/>
        <v>F4</v>
      </c>
      <c r="CA121" s="3" t="str">
        <f t="shared" si="7"/>
        <v>Och-A</v>
      </c>
      <c r="CC121" s="3">
        <v>1.5</v>
      </c>
      <c r="CD121" t="s">
        <v>486</v>
      </c>
      <c r="CE121" s="21" t="str">
        <f t="shared" si="8"/>
        <v>OcA0102304F</v>
      </c>
      <c r="CF121" s="21" t="str">
        <f t="shared" si="9"/>
        <v>Och-ATum_023-Ex1-4F-lcwgs-2-1</v>
      </c>
      <c r="CG121" s="3">
        <f t="shared" si="19"/>
        <v>1.5</v>
      </c>
      <c r="CH121">
        <v>821776</v>
      </c>
      <c r="CI121">
        <v>646830</v>
      </c>
      <c r="CJ121" t="s">
        <v>79</v>
      </c>
      <c r="CK121" s="3">
        <v>1.5449597921048628</v>
      </c>
      <c r="CL121" t="s">
        <v>1200</v>
      </c>
      <c r="CM121" s="33" t="s">
        <v>1659</v>
      </c>
      <c r="CN121" s="3" t="str">
        <f t="shared" si="20"/>
        <v>Och-ATum_023-Ex1-4F-lcwgs-2-2</v>
      </c>
      <c r="CR121"/>
    </row>
    <row r="122" spans="1:1020" s="20" customFormat="1" x14ac:dyDescent="0.55000000000000004">
      <c r="A122" s="20" t="s">
        <v>223</v>
      </c>
      <c r="B122" s="20" t="s">
        <v>729</v>
      </c>
      <c r="C122" s="21">
        <v>2</v>
      </c>
      <c r="D122" s="21"/>
      <c r="E122" s="20" t="s">
        <v>198</v>
      </c>
      <c r="F122" s="20">
        <v>11</v>
      </c>
      <c r="G122" s="20" t="s">
        <v>76</v>
      </c>
      <c r="H122" s="20">
        <v>5.5717664966266245</v>
      </c>
      <c r="I122" s="21" t="s">
        <v>74</v>
      </c>
      <c r="J122" s="21">
        <v>0.2</v>
      </c>
      <c r="K122" s="21">
        <v>7.25</v>
      </c>
      <c r="L122" s="21">
        <v>0.25</v>
      </c>
      <c r="M122" s="21"/>
      <c r="N122" s="21"/>
      <c r="O122" s="21">
        <v>200</v>
      </c>
      <c r="P122" s="21">
        <v>35.89525873366879</v>
      </c>
      <c r="Q122" s="21"/>
      <c r="R122" s="21">
        <v>10</v>
      </c>
      <c r="S122" s="22">
        <v>45141</v>
      </c>
      <c r="T122" s="21" t="s">
        <v>282</v>
      </c>
      <c r="U122" s="21" t="s">
        <v>412</v>
      </c>
      <c r="V122" s="23" t="s">
        <v>96</v>
      </c>
      <c r="W122" s="23">
        <v>22</v>
      </c>
      <c r="X122" s="23" t="s">
        <v>103</v>
      </c>
      <c r="Y122" s="23">
        <v>22</v>
      </c>
      <c r="Z122" s="20">
        <v>11</v>
      </c>
      <c r="AA122" s="20" t="s">
        <v>76</v>
      </c>
      <c r="AB122" s="20" t="s">
        <v>413</v>
      </c>
      <c r="AC122" s="21" t="s">
        <v>78</v>
      </c>
      <c r="AD122" s="21">
        <v>2</v>
      </c>
      <c r="AE122" s="20">
        <v>11</v>
      </c>
      <c r="AF122" s="20" t="s">
        <v>76</v>
      </c>
      <c r="AG122" s="20" t="s">
        <v>640</v>
      </c>
      <c r="AH122" s="24" t="s">
        <v>641</v>
      </c>
      <c r="AI122" s="20" t="s">
        <v>636</v>
      </c>
      <c r="AJ122" s="25" t="s">
        <v>637</v>
      </c>
      <c r="AK122" s="21"/>
      <c r="AL122" s="21"/>
      <c r="AM122" s="21"/>
      <c r="AN122" s="22"/>
      <c r="AO122" s="26">
        <v>1.6209720000000001</v>
      </c>
      <c r="AP122" s="21">
        <v>37</v>
      </c>
      <c r="AQ122" s="21">
        <f t="shared" si="3"/>
        <v>59.975964000000005</v>
      </c>
      <c r="AR122" s="21"/>
      <c r="AY122" s="21"/>
      <c r="AZ122" s="21"/>
      <c r="BA122" s="21"/>
      <c r="BB122" s="21"/>
      <c r="BC122" s="21"/>
      <c r="BD122" s="21"/>
      <c r="BE122" s="21" t="s">
        <v>79</v>
      </c>
      <c r="BF122" s="21" t="s">
        <v>415</v>
      </c>
      <c r="BG122" s="21" t="s">
        <v>416</v>
      </c>
      <c r="BH122" s="21">
        <v>1</v>
      </c>
      <c r="BI122" s="21" t="str">
        <f>AA122&amp;Z122</f>
        <v>B11</v>
      </c>
      <c r="BJ122" s="21">
        <v>1</v>
      </c>
      <c r="BK122" s="21" t="str">
        <f>BR122&amp;BQ122</f>
        <v>F5</v>
      </c>
      <c r="BL122" s="26">
        <v>1.5</v>
      </c>
      <c r="BM122" s="21">
        <v>0.4</v>
      </c>
      <c r="BN122" s="21">
        <f>AO122*BL122/BM122</f>
        <v>6.0786449999999999</v>
      </c>
      <c r="BO122" s="21">
        <f>BN122-BL122</f>
        <v>4.5786449999999999</v>
      </c>
      <c r="BP122" s="21" t="s">
        <v>420</v>
      </c>
      <c r="BQ122" s="20">
        <v>5</v>
      </c>
      <c r="BR122" s="20" t="s">
        <v>88</v>
      </c>
      <c r="BS122" s="21">
        <v>1</v>
      </c>
      <c r="BT122" s="21" t="s">
        <v>418</v>
      </c>
      <c r="BU122" s="21">
        <v>1</v>
      </c>
      <c r="BV122" s="21" t="str">
        <f>BR122&amp;BQ122</f>
        <v>F5</v>
      </c>
      <c r="BW122" s="21">
        <f>BO122</f>
        <v>4.5786449999999999</v>
      </c>
      <c r="BX122" s="21" t="s">
        <v>417</v>
      </c>
      <c r="BY122" s="21" t="str">
        <f t="shared" si="5"/>
        <v>Och-Mixed_Dilution Plate</v>
      </c>
      <c r="BZ122" s="21" t="str">
        <f t="shared" si="6"/>
        <v>F5</v>
      </c>
      <c r="CA122" s="21" t="str">
        <f t="shared" si="7"/>
        <v>Och-A</v>
      </c>
      <c r="CB122" s="21"/>
      <c r="CC122" s="21">
        <v>1.5</v>
      </c>
      <c r="CD122" s="20" t="s">
        <v>486</v>
      </c>
      <c r="CE122" s="21" t="str">
        <f>CD122&amp;TEXT(Z122,"00")&amp;AA122&amp;"1"</f>
        <v>OcA0102311B1</v>
      </c>
      <c r="CF122" s="21" t="str">
        <f t="shared" si="9"/>
        <v>Och-ACat_023-Ex1-11B-lcwgs-2-1</v>
      </c>
      <c r="CG122" s="3">
        <f t="shared" si="19"/>
        <v>0.37014828140152944</v>
      </c>
      <c r="CH122">
        <v>2873356</v>
      </c>
      <c r="CI122">
        <v>2147794</v>
      </c>
      <c r="CJ122" s="27" t="s">
        <v>79</v>
      </c>
      <c r="CK122" s="21">
        <v>8.6374587364448571E-2</v>
      </c>
      <c r="CL122" t="s">
        <v>1198</v>
      </c>
      <c r="CM122" s="34" t="s">
        <v>1658</v>
      </c>
      <c r="CN122" s="3" t="str">
        <f t="shared" si="20"/>
        <v>Och-ACat_023-Ex1-11B-lcwgs-2-2</v>
      </c>
      <c r="CO122" s="21"/>
      <c r="CP122" s="21"/>
      <c r="CQ122" s="21"/>
      <c r="CR122"/>
      <c r="CS122" s="3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1"/>
      <c r="JV122" s="21"/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  <c r="KJ122" s="21"/>
      <c r="KK122" s="21"/>
      <c r="KL122" s="21"/>
      <c r="KM122" s="21"/>
      <c r="KN122" s="21"/>
      <c r="KO122" s="21"/>
      <c r="KP122" s="21"/>
      <c r="KQ122" s="21"/>
      <c r="KR122" s="21"/>
      <c r="KS122" s="21"/>
      <c r="KT122" s="21"/>
      <c r="KU122" s="21"/>
      <c r="KV122" s="21"/>
      <c r="KW122" s="21"/>
      <c r="KX122" s="21"/>
      <c r="KY122" s="21"/>
      <c r="KZ122" s="21"/>
      <c r="LA122" s="21"/>
      <c r="LB122" s="21"/>
      <c r="LC122" s="21"/>
      <c r="LD122" s="21"/>
      <c r="LE122" s="21"/>
      <c r="LF122" s="21"/>
      <c r="LG122" s="21"/>
      <c r="LH122" s="21"/>
      <c r="LI122" s="21"/>
      <c r="LJ122" s="21"/>
      <c r="LK122" s="21"/>
      <c r="LL122" s="21"/>
      <c r="LM122" s="21"/>
      <c r="LN122" s="21"/>
      <c r="LO122" s="21"/>
      <c r="LP122" s="21"/>
      <c r="LQ122" s="21"/>
      <c r="LR122" s="21"/>
      <c r="LS122" s="21"/>
      <c r="LT122" s="21"/>
      <c r="LU122" s="21"/>
      <c r="LV122" s="21"/>
      <c r="LW122" s="21"/>
      <c r="LX122" s="21"/>
      <c r="LY122" s="21"/>
      <c r="LZ122" s="21"/>
      <c r="MA122" s="21"/>
      <c r="MB122" s="21"/>
      <c r="MC122" s="21"/>
      <c r="MD122" s="21"/>
      <c r="ME122" s="21"/>
      <c r="MF122" s="21"/>
      <c r="MG122" s="21"/>
      <c r="MH122" s="21"/>
      <c r="MI122" s="21"/>
      <c r="MJ122" s="21"/>
      <c r="MK122" s="21"/>
      <c r="ML122" s="21"/>
      <c r="MM122" s="21"/>
      <c r="MN122" s="21"/>
      <c r="MO122" s="21"/>
      <c r="MP122" s="21"/>
      <c r="MQ122" s="21"/>
      <c r="MR122" s="21"/>
      <c r="MS122" s="21"/>
      <c r="MT122" s="21"/>
      <c r="MU122" s="21"/>
      <c r="MV122" s="21"/>
      <c r="MW122" s="21"/>
      <c r="MX122" s="21"/>
      <c r="MY122" s="21"/>
      <c r="MZ122" s="21"/>
      <c r="NA122" s="21"/>
      <c r="NB122" s="21"/>
      <c r="NC122" s="21"/>
      <c r="ND122" s="21"/>
      <c r="NE122" s="21"/>
      <c r="NF122" s="21"/>
      <c r="NG122" s="21"/>
      <c r="NH122" s="21"/>
      <c r="NI122" s="21"/>
      <c r="NJ122" s="21"/>
      <c r="NK122" s="21"/>
      <c r="NL122" s="21"/>
      <c r="NM122" s="21"/>
      <c r="NN122" s="21"/>
      <c r="NO122" s="21"/>
      <c r="NP122" s="21"/>
      <c r="NQ122" s="21"/>
      <c r="NR122" s="21"/>
      <c r="NS122" s="21"/>
      <c r="NT122" s="21"/>
      <c r="NU122" s="21"/>
      <c r="NV122" s="21"/>
      <c r="NW122" s="21"/>
      <c r="NX122" s="21"/>
      <c r="NY122" s="21"/>
      <c r="NZ122" s="21"/>
      <c r="OA122" s="21"/>
      <c r="OB122" s="21"/>
      <c r="OC122" s="21"/>
      <c r="OD122" s="21"/>
      <c r="OE122" s="21"/>
      <c r="OF122" s="21"/>
      <c r="OG122" s="21"/>
      <c r="OH122" s="21"/>
      <c r="OI122" s="21"/>
      <c r="OJ122" s="21"/>
      <c r="OK122" s="21"/>
      <c r="OL122" s="21"/>
      <c r="OM122" s="21"/>
      <c r="ON122" s="21"/>
      <c r="OO122" s="21"/>
      <c r="OP122" s="21"/>
      <c r="OQ122" s="21"/>
      <c r="OR122" s="21"/>
      <c r="OS122" s="21"/>
      <c r="OT122" s="21"/>
      <c r="OU122" s="21"/>
      <c r="OV122" s="21"/>
      <c r="OW122" s="21"/>
      <c r="OX122" s="21"/>
      <c r="OY122" s="21"/>
      <c r="OZ122" s="21"/>
      <c r="PA122" s="21"/>
      <c r="PB122" s="21"/>
      <c r="PC122" s="21"/>
      <c r="PD122" s="21"/>
      <c r="PE122" s="21"/>
      <c r="PF122" s="21"/>
      <c r="PG122" s="21"/>
      <c r="PH122" s="21"/>
      <c r="PI122" s="21"/>
      <c r="PJ122" s="21"/>
      <c r="PK122" s="21"/>
      <c r="PL122" s="21"/>
      <c r="PM122" s="21"/>
      <c r="PN122" s="21"/>
      <c r="PO122" s="21"/>
      <c r="PP122" s="21"/>
      <c r="PQ122" s="21"/>
      <c r="PR122" s="21"/>
      <c r="PS122" s="21"/>
      <c r="PT122" s="21"/>
      <c r="PU122" s="21"/>
      <c r="PV122" s="21"/>
      <c r="PW122" s="21"/>
      <c r="PX122" s="21"/>
      <c r="PY122" s="21"/>
      <c r="PZ122" s="21"/>
      <c r="QA122" s="21"/>
      <c r="QB122" s="21"/>
      <c r="QC122" s="21"/>
      <c r="QD122" s="21"/>
      <c r="QE122" s="21"/>
      <c r="QF122" s="21"/>
      <c r="QG122" s="21"/>
      <c r="QH122" s="21"/>
      <c r="QI122" s="21"/>
      <c r="QJ122" s="21"/>
      <c r="QK122" s="21"/>
      <c r="QL122" s="21"/>
      <c r="QM122" s="21"/>
      <c r="QN122" s="21"/>
      <c r="QO122" s="21"/>
      <c r="QP122" s="21"/>
      <c r="QQ122" s="21"/>
      <c r="QR122" s="21"/>
      <c r="QS122" s="21"/>
      <c r="QT122" s="21"/>
      <c r="QU122" s="21"/>
      <c r="QV122" s="21"/>
      <c r="QW122" s="21"/>
      <c r="QX122" s="21"/>
      <c r="QY122" s="21"/>
      <c r="QZ122" s="21"/>
      <c r="RA122" s="21"/>
      <c r="RB122" s="21"/>
      <c r="RC122" s="21"/>
      <c r="RD122" s="21"/>
      <c r="RE122" s="21"/>
      <c r="RF122" s="21"/>
      <c r="RG122" s="21"/>
      <c r="RH122" s="21"/>
      <c r="RI122" s="21"/>
      <c r="RJ122" s="21"/>
      <c r="RK122" s="21"/>
      <c r="RL122" s="21"/>
      <c r="RM122" s="21"/>
      <c r="RN122" s="21"/>
      <c r="RO122" s="21"/>
      <c r="RP122" s="21"/>
      <c r="RQ122" s="21"/>
      <c r="RR122" s="21"/>
      <c r="RS122" s="21"/>
      <c r="RT122" s="21"/>
      <c r="RU122" s="21"/>
      <c r="RV122" s="21"/>
      <c r="RW122" s="21"/>
      <c r="RX122" s="21"/>
      <c r="RY122" s="21"/>
      <c r="RZ122" s="21"/>
      <c r="SA122" s="21"/>
      <c r="SB122" s="21"/>
      <c r="SC122" s="21"/>
      <c r="SD122" s="21"/>
      <c r="SE122" s="21"/>
      <c r="SF122" s="21"/>
      <c r="SG122" s="21"/>
      <c r="SH122" s="21"/>
      <c r="SI122" s="21"/>
      <c r="SJ122" s="21"/>
      <c r="SK122" s="21"/>
      <c r="SL122" s="21"/>
      <c r="SM122" s="21"/>
      <c r="SN122" s="21"/>
      <c r="SO122" s="21"/>
      <c r="SP122" s="21"/>
      <c r="SQ122" s="21"/>
      <c r="SR122" s="21"/>
      <c r="SS122" s="21"/>
      <c r="ST122" s="21"/>
      <c r="SU122" s="21"/>
      <c r="SV122" s="21"/>
      <c r="SW122" s="21"/>
      <c r="SX122" s="21"/>
      <c r="SY122" s="21"/>
      <c r="SZ122" s="21"/>
      <c r="TA122" s="21"/>
      <c r="TB122" s="21"/>
      <c r="TC122" s="21"/>
      <c r="TD122" s="21"/>
      <c r="TE122" s="21"/>
      <c r="TF122" s="21"/>
      <c r="TG122" s="21"/>
      <c r="TH122" s="21"/>
      <c r="TI122" s="21"/>
      <c r="TJ122" s="21"/>
      <c r="TK122" s="21"/>
      <c r="TL122" s="21"/>
      <c r="TM122" s="21"/>
      <c r="TN122" s="21"/>
      <c r="TO122" s="21"/>
      <c r="TP122" s="21"/>
      <c r="TQ122" s="21"/>
      <c r="TR122" s="21"/>
      <c r="TS122" s="21"/>
      <c r="TT122" s="21"/>
      <c r="TU122" s="21"/>
      <c r="TV122" s="21"/>
      <c r="TW122" s="21"/>
      <c r="TX122" s="21"/>
      <c r="TY122" s="21"/>
      <c r="TZ122" s="21"/>
      <c r="UA122" s="21"/>
      <c r="UB122" s="21"/>
      <c r="UC122" s="21"/>
      <c r="UD122" s="21"/>
      <c r="UE122" s="21"/>
      <c r="UF122" s="21"/>
      <c r="UG122" s="21"/>
      <c r="UH122" s="21"/>
      <c r="UI122" s="21"/>
      <c r="UJ122" s="21"/>
      <c r="UK122" s="21"/>
      <c r="UL122" s="21"/>
      <c r="UM122" s="21"/>
      <c r="UN122" s="21"/>
      <c r="UO122" s="21"/>
      <c r="UP122" s="21"/>
      <c r="UQ122" s="21"/>
      <c r="UR122" s="21"/>
      <c r="US122" s="21"/>
      <c r="UT122" s="21"/>
      <c r="UU122" s="21"/>
      <c r="UV122" s="21"/>
      <c r="UW122" s="21"/>
      <c r="UX122" s="21"/>
      <c r="UY122" s="21"/>
      <c r="UZ122" s="21"/>
      <c r="VA122" s="21"/>
      <c r="VB122" s="21"/>
      <c r="VC122" s="21"/>
      <c r="VD122" s="21"/>
      <c r="VE122" s="21"/>
      <c r="VF122" s="21"/>
      <c r="VG122" s="21"/>
      <c r="VH122" s="21"/>
      <c r="VI122" s="21"/>
      <c r="VJ122" s="21"/>
      <c r="VK122" s="21"/>
      <c r="VL122" s="21"/>
      <c r="VM122" s="21"/>
      <c r="VN122" s="21"/>
      <c r="VO122" s="21"/>
      <c r="VP122" s="21"/>
      <c r="VQ122" s="21"/>
      <c r="VR122" s="21"/>
      <c r="VS122" s="21"/>
      <c r="VT122" s="21"/>
      <c r="VU122" s="21"/>
      <c r="VV122" s="21"/>
      <c r="VW122" s="21"/>
      <c r="VX122" s="21"/>
      <c r="VY122" s="21"/>
      <c r="VZ122" s="21"/>
      <c r="WA122" s="21"/>
      <c r="WB122" s="21"/>
      <c r="WC122" s="21"/>
      <c r="WD122" s="21"/>
      <c r="WE122" s="21"/>
      <c r="WF122" s="21"/>
      <c r="WG122" s="21"/>
      <c r="WH122" s="21"/>
      <c r="WI122" s="21"/>
      <c r="WJ122" s="21"/>
      <c r="WK122" s="21"/>
      <c r="WL122" s="21"/>
      <c r="WM122" s="21"/>
      <c r="WN122" s="21"/>
      <c r="WO122" s="21"/>
      <c r="WP122" s="21"/>
      <c r="WQ122" s="21"/>
      <c r="WR122" s="21"/>
      <c r="WS122" s="21"/>
      <c r="WT122" s="21"/>
      <c r="WU122" s="21"/>
      <c r="WV122" s="21"/>
      <c r="WW122" s="21"/>
      <c r="WX122" s="21"/>
      <c r="WY122" s="21"/>
      <c r="WZ122" s="21"/>
      <c r="XA122" s="21"/>
      <c r="XB122" s="21"/>
      <c r="XC122" s="21"/>
      <c r="XD122" s="21"/>
      <c r="XE122" s="21"/>
      <c r="XF122" s="21"/>
      <c r="XG122" s="21"/>
      <c r="XH122" s="21"/>
      <c r="XI122" s="21"/>
      <c r="XJ122" s="21"/>
      <c r="XK122" s="21"/>
      <c r="XL122" s="21"/>
      <c r="XM122" s="21"/>
      <c r="XN122" s="21"/>
      <c r="XO122" s="21"/>
      <c r="XP122" s="21"/>
      <c r="XQ122" s="21"/>
      <c r="XR122" s="21"/>
      <c r="XS122" s="21"/>
      <c r="XT122" s="21"/>
      <c r="XU122" s="21"/>
      <c r="XV122" s="21"/>
      <c r="XW122" s="21"/>
      <c r="XX122" s="21"/>
      <c r="XY122" s="21"/>
      <c r="XZ122" s="21"/>
      <c r="YA122" s="21"/>
      <c r="YB122" s="21"/>
      <c r="YC122" s="21"/>
      <c r="YD122" s="21"/>
      <c r="YE122" s="21"/>
      <c r="YF122" s="21"/>
      <c r="YG122" s="21"/>
      <c r="YH122" s="21"/>
      <c r="YI122" s="21"/>
      <c r="YJ122" s="21"/>
      <c r="YK122" s="21"/>
      <c r="YL122" s="21"/>
      <c r="YM122" s="21"/>
      <c r="YN122" s="21"/>
      <c r="YO122" s="21"/>
      <c r="YP122" s="21"/>
      <c r="YQ122" s="21"/>
      <c r="YR122" s="21"/>
      <c r="YS122" s="21"/>
      <c r="YT122" s="21"/>
      <c r="YU122" s="21"/>
      <c r="YV122" s="21"/>
      <c r="YW122" s="21"/>
      <c r="YX122" s="21"/>
      <c r="YY122" s="21"/>
      <c r="YZ122" s="21"/>
      <c r="ZA122" s="21"/>
      <c r="ZB122" s="21"/>
      <c r="ZC122" s="21"/>
      <c r="ZD122" s="21"/>
      <c r="ZE122" s="21"/>
      <c r="ZF122" s="21"/>
      <c r="ZG122" s="21"/>
      <c r="ZH122" s="21"/>
      <c r="ZI122" s="21"/>
      <c r="ZJ122" s="21"/>
      <c r="ZK122" s="21"/>
      <c r="ZL122" s="21"/>
      <c r="ZM122" s="21"/>
      <c r="ZN122" s="21"/>
      <c r="ZO122" s="21"/>
      <c r="ZP122" s="21"/>
      <c r="ZQ122" s="21"/>
      <c r="ZR122" s="21"/>
      <c r="ZS122" s="21"/>
      <c r="ZT122" s="21"/>
      <c r="ZU122" s="21"/>
      <c r="ZV122" s="21"/>
      <c r="ZW122" s="21"/>
      <c r="ZX122" s="21"/>
      <c r="ZY122" s="21"/>
      <c r="ZZ122" s="21"/>
      <c r="AAA122" s="21"/>
      <c r="AAB122" s="21"/>
      <c r="AAC122" s="21"/>
      <c r="AAD122" s="21"/>
      <c r="AAE122" s="21"/>
      <c r="AAF122" s="21"/>
      <c r="AAG122" s="21"/>
      <c r="AAH122" s="21"/>
      <c r="AAI122" s="21"/>
      <c r="AAJ122" s="21"/>
      <c r="AAK122" s="21"/>
      <c r="AAL122" s="21"/>
      <c r="AAM122" s="21"/>
      <c r="AAN122" s="21"/>
      <c r="AAO122" s="21"/>
      <c r="AAP122" s="21"/>
      <c r="AAQ122" s="21"/>
      <c r="AAR122" s="21"/>
      <c r="AAS122" s="21"/>
      <c r="AAT122" s="21"/>
      <c r="AAU122" s="21"/>
      <c r="AAV122" s="21"/>
      <c r="AAW122" s="21"/>
      <c r="AAX122" s="21"/>
      <c r="AAY122" s="21"/>
      <c r="AAZ122" s="21"/>
      <c r="ABA122" s="21"/>
      <c r="ABB122" s="21"/>
      <c r="ABC122" s="21"/>
      <c r="ABD122" s="21"/>
      <c r="ABE122" s="21"/>
      <c r="ABF122" s="21"/>
      <c r="ABG122" s="21"/>
      <c r="ABH122" s="21"/>
      <c r="ABI122" s="21"/>
      <c r="ABJ122" s="21"/>
      <c r="ABK122" s="21"/>
      <c r="ABL122" s="21"/>
      <c r="ABM122" s="21"/>
      <c r="ABN122" s="21"/>
      <c r="ABO122" s="21"/>
      <c r="ABP122" s="21"/>
      <c r="ABQ122" s="21"/>
      <c r="ABR122" s="21"/>
      <c r="ABS122" s="21"/>
      <c r="ABT122" s="21"/>
      <c r="ABU122" s="21"/>
      <c r="ABV122" s="21"/>
      <c r="ABW122" s="21"/>
      <c r="ABX122" s="21"/>
      <c r="ABY122" s="21"/>
      <c r="ABZ122" s="21"/>
      <c r="ACA122" s="21"/>
      <c r="ACB122" s="21"/>
      <c r="ACC122" s="21"/>
      <c r="ACD122" s="21"/>
      <c r="ACE122" s="21"/>
      <c r="ACF122" s="21"/>
      <c r="ACG122" s="21"/>
      <c r="ACH122" s="21"/>
      <c r="ACI122" s="21"/>
      <c r="ACJ122" s="21"/>
      <c r="ACK122" s="21"/>
      <c r="ACL122" s="21"/>
      <c r="ACM122" s="21"/>
      <c r="ACN122" s="21"/>
      <c r="ACO122" s="21"/>
      <c r="ACP122" s="21"/>
      <c r="ACQ122" s="21"/>
      <c r="ACR122" s="21"/>
      <c r="ACS122" s="21"/>
      <c r="ACT122" s="21"/>
      <c r="ACU122" s="21"/>
      <c r="ACV122" s="21"/>
      <c r="ACW122" s="21"/>
      <c r="ACX122" s="21"/>
      <c r="ACY122" s="21"/>
      <c r="ACZ122" s="21"/>
      <c r="ADA122" s="21"/>
      <c r="ADB122" s="21"/>
      <c r="ADC122" s="21"/>
      <c r="ADD122" s="21"/>
      <c r="ADE122" s="21"/>
      <c r="ADF122" s="21"/>
      <c r="ADG122" s="21"/>
      <c r="ADH122" s="21"/>
      <c r="ADI122" s="21"/>
      <c r="ADJ122" s="21"/>
      <c r="ADK122" s="21"/>
      <c r="ADL122" s="21"/>
      <c r="ADM122" s="21"/>
      <c r="ADN122" s="21"/>
      <c r="ADO122" s="21"/>
      <c r="ADP122" s="21"/>
      <c r="ADQ122" s="21"/>
      <c r="ADR122" s="21"/>
      <c r="ADS122" s="21"/>
      <c r="ADT122" s="21"/>
      <c r="ADU122" s="21"/>
      <c r="ADV122" s="21"/>
      <c r="ADW122" s="21"/>
      <c r="ADX122" s="21"/>
      <c r="ADY122" s="21"/>
      <c r="ADZ122" s="21"/>
      <c r="AEA122" s="21"/>
      <c r="AEB122" s="21"/>
      <c r="AEC122" s="21"/>
      <c r="AED122" s="21"/>
      <c r="AEE122" s="21"/>
      <c r="AEF122" s="21"/>
      <c r="AEG122" s="21"/>
      <c r="AEH122" s="21"/>
      <c r="AEI122" s="21"/>
      <c r="AEJ122" s="21"/>
      <c r="AEK122" s="21"/>
      <c r="AEL122" s="21"/>
      <c r="AEM122" s="21"/>
      <c r="AEN122" s="21"/>
      <c r="AEO122" s="21"/>
      <c r="AEP122" s="21"/>
      <c r="AEQ122" s="21"/>
      <c r="AER122" s="21"/>
      <c r="AES122" s="21"/>
      <c r="AET122" s="21"/>
      <c r="AEU122" s="21"/>
      <c r="AEV122" s="21"/>
      <c r="AEW122" s="21"/>
      <c r="AEX122" s="21"/>
      <c r="AEY122" s="21"/>
      <c r="AEZ122" s="21"/>
      <c r="AFA122" s="21"/>
      <c r="AFB122" s="21"/>
      <c r="AFC122" s="21"/>
      <c r="AFD122" s="21"/>
      <c r="AFE122" s="21"/>
      <c r="AFF122" s="21"/>
      <c r="AFG122" s="21"/>
      <c r="AFH122" s="21"/>
      <c r="AFI122" s="21"/>
      <c r="AFJ122" s="21"/>
      <c r="AFK122" s="21"/>
      <c r="AFL122" s="21"/>
      <c r="AFM122" s="21"/>
      <c r="AFN122" s="21"/>
      <c r="AFO122" s="21"/>
      <c r="AFP122" s="21"/>
      <c r="AFQ122" s="21"/>
      <c r="AFR122" s="21"/>
      <c r="AFS122" s="21"/>
      <c r="AFT122" s="21"/>
      <c r="AFU122" s="21"/>
      <c r="AFV122" s="21"/>
      <c r="AFW122" s="21"/>
      <c r="AFX122" s="21"/>
      <c r="AFY122" s="21"/>
      <c r="AFZ122" s="21"/>
      <c r="AGA122" s="21"/>
      <c r="AGB122" s="21"/>
      <c r="AGC122" s="21"/>
      <c r="AGD122" s="21"/>
      <c r="AGE122" s="21"/>
      <c r="AGF122" s="21"/>
      <c r="AGG122" s="21"/>
      <c r="AGH122" s="21"/>
      <c r="AGI122" s="21"/>
      <c r="AGJ122" s="21"/>
      <c r="AGK122" s="21"/>
      <c r="AGL122" s="21"/>
      <c r="AGM122" s="21"/>
      <c r="AGN122" s="21"/>
      <c r="AGO122" s="21"/>
      <c r="AGP122" s="21"/>
      <c r="AGQ122" s="21"/>
      <c r="AGR122" s="21"/>
      <c r="AGS122" s="21"/>
      <c r="AGT122" s="21"/>
      <c r="AGU122" s="21"/>
      <c r="AGV122" s="21"/>
      <c r="AGW122" s="21"/>
      <c r="AGX122" s="21"/>
      <c r="AGY122" s="21"/>
      <c r="AGZ122" s="21"/>
      <c r="AHA122" s="21"/>
      <c r="AHB122" s="21"/>
      <c r="AHC122" s="21"/>
      <c r="AHD122" s="21"/>
      <c r="AHE122" s="21"/>
      <c r="AHF122" s="21"/>
      <c r="AHG122" s="21"/>
      <c r="AHH122" s="21"/>
      <c r="AHI122" s="21"/>
      <c r="AHJ122" s="21"/>
      <c r="AHK122" s="21"/>
      <c r="AHL122" s="21"/>
      <c r="AHM122" s="21"/>
      <c r="AHN122" s="21"/>
      <c r="AHO122" s="21"/>
      <c r="AHP122" s="21"/>
      <c r="AHQ122" s="21"/>
      <c r="AHR122" s="21"/>
      <c r="AHS122" s="21"/>
      <c r="AHT122" s="21"/>
      <c r="AHU122" s="21"/>
      <c r="AHV122" s="21"/>
      <c r="AHW122" s="21"/>
      <c r="AHX122" s="21"/>
      <c r="AHY122" s="21"/>
      <c r="AHZ122" s="21"/>
      <c r="AIA122" s="21"/>
      <c r="AIB122" s="21"/>
      <c r="AIC122" s="21"/>
      <c r="AID122" s="21"/>
      <c r="AIE122" s="21"/>
      <c r="AIF122" s="21"/>
      <c r="AIG122" s="21"/>
      <c r="AIH122" s="21"/>
      <c r="AII122" s="21"/>
      <c r="AIJ122" s="21"/>
      <c r="AIK122" s="21"/>
      <c r="AIL122" s="21"/>
      <c r="AIM122" s="21"/>
      <c r="AIN122" s="21"/>
      <c r="AIO122" s="21"/>
      <c r="AIP122" s="21"/>
      <c r="AIQ122" s="21"/>
      <c r="AIR122" s="21"/>
      <c r="AIS122" s="21"/>
      <c r="AIT122" s="21"/>
      <c r="AIU122" s="21"/>
      <c r="AIV122" s="21"/>
      <c r="AIW122" s="21"/>
      <c r="AIX122" s="21"/>
      <c r="AIY122" s="21"/>
      <c r="AIZ122" s="21"/>
      <c r="AJA122" s="21"/>
      <c r="AJB122" s="21"/>
      <c r="AJC122" s="21"/>
      <c r="AJD122" s="21"/>
      <c r="AJE122" s="21"/>
      <c r="AJF122" s="21"/>
      <c r="AJG122" s="21"/>
      <c r="AJH122" s="21"/>
      <c r="AJI122" s="21"/>
      <c r="AJJ122" s="21"/>
      <c r="AJK122" s="21"/>
      <c r="AJL122" s="21"/>
      <c r="AJM122" s="21"/>
      <c r="AJN122" s="21"/>
      <c r="AJO122" s="21"/>
      <c r="AJP122" s="21"/>
      <c r="AJQ122" s="21"/>
      <c r="AJR122" s="21"/>
      <c r="AJS122" s="21"/>
      <c r="AJT122" s="21"/>
      <c r="AJU122" s="21"/>
      <c r="AJV122" s="21"/>
      <c r="AJW122" s="21"/>
      <c r="AJX122" s="21"/>
      <c r="AJY122" s="21"/>
      <c r="AJZ122" s="21"/>
      <c r="AKA122" s="21"/>
      <c r="AKB122" s="21"/>
      <c r="AKC122" s="21"/>
      <c r="AKD122" s="21"/>
      <c r="AKE122" s="21"/>
      <c r="AKF122" s="21"/>
      <c r="AKG122" s="21"/>
      <c r="AKH122" s="21"/>
      <c r="AKI122" s="21"/>
      <c r="AKJ122" s="21"/>
      <c r="AKK122" s="21"/>
      <c r="AKL122" s="21"/>
      <c r="AKM122" s="21"/>
      <c r="AKN122" s="21"/>
      <c r="AKO122" s="21"/>
      <c r="AKP122" s="21"/>
      <c r="AKQ122" s="21"/>
      <c r="AKR122" s="21"/>
      <c r="AKS122" s="21"/>
      <c r="AKT122" s="21"/>
      <c r="AKU122" s="21"/>
      <c r="AKV122" s="21"/>
      <c r="AKW122" s="21"/>
      <c r="AKX122" s="21"/>
      <c r="AKY122" s="21"/>
      <c r="AKZ122" s="21"/>
      <c r="ALA122" s="21"/>
      <c r="ALB122" s="21"/>
      <c r="ALC122" s="21"/>
      <c r="ALD122" s="21"/>
      <c r="ALE122" s="21"/>
      <c r="ALF122" s="21"/>
      <c r="ALG122" s="21"/>
      <c r="ALH122" s="21"/>
      <c r="ALI122" s="21"/>
      <c r="ALJ122" s="21"/>
      <c r="ALK122" s="21"/>
      <c r="ALL122" s="21"/>
      <c r="ALM122" s="21"/>
      <c r="ALN122" s="21"/>
      <c r="ALO122" s="21"/>
      <c r="ALP122" s="21"/>
      <c r="ALQ122" s="21"/>
      <c r="ALR122" s="21"/>
      <c r="ALS122" s="21"/>
      <c r="ALT122" s="21"/>
      <c r="ALU122" s="21"/>
      <c r="ALV122" s="21"/>
      <c r="ALW122" s="21"/>
      <c r="ALX122" s="21"/>
      <c r="ALY122" s="21"/>
      <c r="ALZ122" s="21"/>
      <c r="AMA122" s="21"/>
      <c r="AMB122" s="21"/>
      <c r="AMC122" s="21"/>
      <c r="AMD122" s="21"/>
      <c r="AME122" s="21"/>
      <c r="AMF122" s="21"/>
    </row>
    <row r="123" spans="1:1020" x14ac:dyDescent="0.55000000000000004">
      <c r="A123" t="s">
        <v>265</v>
      </c>
      <c r="B123" t="s">
        <v>785</v>
      </c>
      <c r="C123" s="3">
        <v>1</v>
      </c>
      <c r="E123" t="s">
        <v>198</v>
      </c>
      <c r="F123">
        <v>4</v>
      </c>
      <c r="G123" t="s">
        <v>88</v>
      </c>
      <c r="H123" s="3">
        <v>10.456553398058251</v>
      </c>
      <c r="I123" s="3" t="s">
        <v>74</v>
      </c>
      <c r="J123" s="3">
        <v>0.2</v>
      </c>
      <c r="K123" s="3">
        <v>7.25</v>
      </c>
      <c r="L123" s="3">
        <v>0.25</v>
      </c>
      <c r="O123" s="3">
        <v>100</v>
      </c>
      <c r="P123" s="3">
        <v>9.5633806086209709</v>
      </c>
      <c r="R123" s="3">
        <v>10</v>
      </c>
      <c r="S123" s="4">
        <v>44945</v>
      </c>
      <c r="T123" s="3" t="s">
        <v>199</v>
      </c>
      <c r="U123" s="3" t="s">
        <v>200</v>
      </c>
      <c r="V123">
        <v>21</v>
      </c>
      <c r="W123" t="s">
        <v>76</v>
      </c>
      <c r="X123">
        <v>22</v>
      </c>
      <c r="Y123" t="s">
        <v>76</v>
      </c>
      <c r="Z123">
        <v>11</v>
      </c>
      <c r="AA123" t="s">
        <v>76</v>
      </c>
      <c r="AB123" t="s">
        <v>201</v>
      </c>
      <c r="AC123" s="3" t="s">
        <v>78</v>
      </c>
      <c r="AD123" s="3">
        <v>5</v>
      </c>
      <c r="AE123">
        <v>11</v>
      </c>
      <c r="AF123" t="s">
        <v>76</v>
      </c>
      <c r="AG123" t="s">
        <v>700</v>
      </c>
      <c r="AH123" s="17" t="s">
        <v>701</v>
      </c>
      <c r="AI123" t="s">
        <v>680</v>
      </c>
      <c r="AJ123" s="18" t="s">
        <v>681</v>
      </c>
      <c r="AO123" s="3">
        <v>0.28971134922370434</v>
      </c>
      <c r="AP123" s="3">
        <v>37</v>
      </c>
      <c r="AQ123" s="3">
        <f t="shared" si="3"/>
        <v>10.71931992127706</v>
      </c>
      <c r="BE123" s="3" t="s">
        <v>79</v>
      </c>
      <c r="BF123" s="3" t="s">
        <v>415</v>
      </c>
      <c r="BG123" s="3" t="s">
        <v>186</v>
      </c>
      <c r="BH123" s="3" t="s">
        <v>186</v>
      </c>
      <c r="BI123" s="3" t="s">
        <v>186</v>
      </c>
      <c r="BJ123" s="3" t="s">
        <v>186</v>
      </c>
      <c r="BK123" s="3" t="s">
        <v>186</v>
      </c>
      <c r="BL123" s="3" t="s">
        <v>186</v>
      </c>
      <c r="BM123" s="3" t="s">
        <v>186</v>
      </c>
      <c r="BN123" s="3" t="s">
        <v>186</v>
      </c>
      <c r="BO123" s="3" t="s">
        <v>186</v>
      </c>
      <c r="BP123" s="3" t="s">
        <v>186</v>
      </c>
      <c r="BQ123" s="3" t="s">
        <v>186</v>
      </c>
      <c r="BR123" s="3" t="s">
        <v>186</v>
      </c>
      <c r="BS123" s="3" t="s">
        <v>186</v>
      </c>
      <c r="BT123" s="3" t="s">
        <v>186</v>
      </c>
      <c r="BU123" s="3" t="s">
        <v>186</v>
      </c>
      <c r="BV123" s="3" t="s">
        <v>186</v>
      </c>
      <c r="BW123" s="3" t="s">
        <v>186</v>
      </c>
      <c r="BX123" s="21" t="s">
        <v>417</v>
      </c>
      <c r="BY123" s="3" t="str">
        <f t="shared" si="5"/>
        <v>PIRE-A_LibrariesforCapture_Jan2023-2</v>
      </c>
      <c r="BZ123" s="3" t="str">
        <f t="shared" si="6"/>
        <v>B11</v>
      </c>
      <c r="CA123" s="3" t="str">
        <f t="shared" si="7"/>
        <v>Och-A</v>
      </c>
      <c r="CC123" s="3">
        <v>1.5</v>
      </c>
      <c r="CD123" t="s">
        <v>486</v>
      </c>
      <c r="CE123" s="21" t="str">
        <f>CD123&amp;TEXT(Z123,"00")&amp;AA123&amp;"2"</f>
        <v>OcA0102311B2</v>
      </c>
      <c r="CF123" s="21" t="str">
        <f t="shared" si="9"/>
        <v>Och-ATum_023-Ex1-11B-lcwgs-1-1</v>
      </c>
      <c r="CG123" s="3">
        <f t="shared" si="19"/>
        <v>1.5</v>
      </c>
      <c r="CJ123" t="s">
        <v>185</v>
      </c>
      <c r="CK123" s="3">
        <v>0</v>
      </c>
      <c r="CL123"/>
      <c r="CM123" s="33"/>
    </row>
    <row r="124" spans="1:1020" x14ac:dyDescent="0.55000000000000004">
      <c r="A124" t="s">
        <v>266</v>
      </c>
      <c r="B124" t="s">
        <v>768</v>
      </c>
      <c r="C124" s="3">
        <v>2</v>
      </c>
      <c r="E124" t="s">
        <v>198</v>
      </c>
      <c r="F124">
        <v>5</v>
      </c>
      <c r="G124" t="s">
        <v>88</v>
      </c>
      <c r="H124">
        <v>11.138736218528878</v>
      </c>
      <c r="I124" s="3" t="s">
        <v>74</v>
      </c>
      <c r="J124" s="3">
        <v>0.2</v>
      </c>
      <c r="K124" s="3">
        <v>7.25</v>
      </c>
      <c r="L124" s="3">
        <v>0.25</v>
      </c>
      <c r="O124" s="3">
        <v>200</v>
      </c>
      <c r="P124" s="3">
        <v>17.955358316799654</v>
      </c>
      <c r="R124" s="3">
        <v>10</v>
      </c>
      <c r="S124" s="4">
        <v>45141</v>
      </c>
      <c r="T124" s="3" t="s">
        <v>282</v>
      </c>
      <c r="U124" s="3" t="s">
        <v>412</v>
      </c>
      <c r="V124" s="11" t="s">
        <v>100</v>
      </c>
      <c r="W124" s="11">
        <v>10</v>
      </c>
      <c r="X124" s="11" t="s">
        <v>107</v>
      </c>
      <c r="Y124" s="11">
        <v>10</v>
      </c>
      <c r="Z124">
        <v>5</v>
      </c>
      <c r="AA124" t="s">
        <v>88</v>
      </c>
      <c r="AB124" t="s">
        <v>413</v>
      </c>
      <c r="AC124" s="3" t="s">
        <v>78</v>
      </c>
      <c r="AD124" s="3">
        <v>2</v>
      </c>
      <c r="AE124">
        <v>5</v>
      </c>
      <c r="AF124" t="s">
        <v>88</v>
      </c>
      <c r="AG124" t="s">
        <v>648</v>
      </c>
      <c r="AH124" s="17" t="s">
        <v>649</v>
      </c>
      <c r="AI124" t="s">
        <v>624</v>
      </c>
      <c r="AJ124" s="18" t="s">
        <v>625</v>
      </c>
      <c r="AO124" s="10">
        <v>0.62454900000000002</v>
      </c>
      <c r="AP124" s="3">
        <v>37</v>
      </c>
      <c r="AQ124" s="3">
        <f t="shared" si="3"/>
        <v>23.108313000000003</v>
      </c>
      <c r="BE124" s="3" t="s">
        <v>79</v>
      </c>
      <c r="BF124" s="3" t="s">
        <v>415</v>
      </c>
      <c r="BG124" s="3" t="s">
        <v>416</v>
      </c>
      <c r="BH124" s="3">
        <v>1</v>
      </c>
      <c r="BI124" s="3" t="str">
        <f>AA124&amp;Z124</f>
        <v>F5</v>
      </c>
      <c r="BJ124" s="3">
        <v>1</v>
      </c>
      <c r="BK124" s="3" t="str">
        <f>BR124&amp;BQ124</f>
        <v>F2</v>
      </c>
      <c r="BL124" s="10">
        <v>1.5</v>
      </c>
      <c r="BM124" s="3">
        <v>0.4</v>
      </c>
      <c r="BN124" s="3">
        <f>AO124*BL124/BM124</f>
        <v>2.3420587500000001</v>
      </c>
      <c r="BO124" s="3">
        <f>BN124-BL124</f>
        <v>0.84205875000000008</v>
      </c>
      <c r="BP124" s="3" t="s">
        <v>420</v>
      </c>
      <c r="BQ124">
        <v>2</v>
      </c>
      <c r="BR124" t="s">
        <v>88</v>
      </c>
      <c r="BS124" s="3">
        <v>1</v>
      </c>
      <c r="BT124" s="3" t="s">
        <v>418</v>
      </c>
      <c r="BU124" s="3">
        <v>1</v>
      </c>
      <c r="BV124" s="3" t="str">
        <f>BR124&amp;BQ124</f>
        <v>F2</v>
      </c>
      <c r="BW124" s="3">
        <f>BO124</f>
        <v>0.84205875000000008</v>
      </c>
      <c r="BX124" s="21" t="s">
        <v>417</v>
      </c>
      <c r="BY124" s="3" t="str">
        <f t="shared" si="5"/>
        <v>Och-Mixed_Dilution Plate</v>
      </c>
      <c r="BZ124" s="3" t="str">
        <f t="shared" si="6"/>
        <v>F2</v>
      </c>
      <c r="CA124" s="3" t="str">
        <f t="shared" si="7"/>
        <v>Och-A</v>
      </c>
      <c r="CC124" s="3">
        <v>1.5</v>
      </c>
      <c r="CD124" t="s">
        <v>493</v>
      </c>
      <c r="CE124" s="21" t="str">
        <f t="shared" ref="CE124:CE187" si="21">CD124&amp;TEXT(Z124,"00")&amp;AA124</f>
        <v>OcA0102405F</v>
      </c>
      <c r="CF124" s="21" t="str">
        <f t="shared" si="9"/>
        <v>Och-ATum_024-Ex1-5F-lcwgs-2-1</v>
      </c>
      <c r="CG124" s="3">
        <f t="shared" si="19"/>
        <v>0.96069323623927028</v>
      </c>
      <c r="CH124">
        <v>478418</v>
      </c>
      <c r="CI124">
        <v>355762</v>
      </c>
      <c r="CJ124" t="s">
        <v>79</v>
      </c>
      <c r="CK124" s="3">
        <v>1.8103691579122045</v>
      </c>
      <c r="CL124" t="s">
        <v>1200</v>
      </c>
      <c r="CM124" s="33" t="s">
        <v>1661</v>
      </c>
      <c r="CN124" s="3" t="str">
        <f t="shared" ref="CN124:CN140" si="22">B124&amp;"-"&amp;Z124&amp;AA124&amp;"-lcwgs-"&amp;C124&amp;"-2"</f>
        <v>Och-ATum_024-Ex1-5F-lcwgs-2-2</v>
      </c>
      <c r="CR124"/>
    </row>
    <row r="125" spans="1:1020" x14ac:dyDescent="0.55000000000000004">
      <c r="A125" t="s">
        <v>224</v>
      </c>
      <c r="B125" t="s">
        <v>730</v>
      </c>
      <c r="C125" s="3">
        <v>2</v>
      </c>
      <c r="E125" t="s">
        <v>198</v>
      </c>
      <c r="F125">
        <v>12</v>
      </c>
      <c r="G125" t="s">
        <v>76</v>
      </c>
      <c r="H125">
        <v>0.62175004113871979</v>
      </c>
      <c r="I125" s="3" t="s">
        <v>74</v>
      </c>
      <c r="J125" s="3">
        <v>0.2</v>
      </c>
      <c r="K125" s="3">
        <v>7.25</v>
      </c>
      <c r="L125" s="3">
        <v>0.25</v>
      </c>
      <c r="O125" s="3">
        <v>27.978751851242389</v>
      </c>
      <c r="P125" s="3">
        <v>45</v>
      </c>
      <c r="R125" s="3">
        <v>10</v>
      </c>
      <c r="S125" s="4">
        <v>45141</v>
      </c>
      <c r="T125" s="3" t="s">
        <v>282</v>
      </c>
      <c r="U125" s="3" t="s">
        <v>412</v>
      </c>
      <c r="V125" s="11" t="s">
        <v>96</v>
      </c>
      <c r="W125" s="11">
        <v>24</v>
      </c>
      <c r="X125" s="11" t="s">
        <v>103</v>
      </c>
      <c r="Y125" s="11">
        <v>24</v>
      </c>
      <c r="Z125">
        <v>12</v>
      </c>
      <c r="AA125" t="s">
        <v>76</v>
      </c>
      <c r="AB125" t="s">
        <v>413</v>
      </c>
      <c r="AC125" s="3" t="s">
        <v>78</v>
      </c>
      <c r="AD125" s="3">
        <v>2</v>
      </c>
      <c r="AE125">
        <v>12</v>
      </c>
      <c r="AF125" t="s">
        <v>76</v>
      </c>
      <c r="AG125" t="s">
        <v>640</v>
      </c>
      <c r="AH125" s="17" t="s">
        <v>641</v>
      </c>
      <c r="AI125" t="s">
        <v>638</v>
      </c>
      <c r="AJ125" s="18" t="s">
        <v>639</v>
      </c>
      <c r="AO125" s="10">
        <v>0.47123999999999999</v>
      </c>
      <c r="AP125" s="3">
        <v>37</v>
      </c>
      <c r="AQ125" s="3">
        <f t="shared" si="3"/>
        <v>17.435880000000001</v>
      </c>
      <c r="BE125" s="3" t="s">
        <v>79</v>
      </c>
      <c r="BF125" s="3" t="s">
        <v>415</v>
      </c>
      <c r="BG125" s="3" t="s">
        <v>186</v>
      </c>
      <c r="BH125" s="3" t="s">
        <v>186</v>
      </c>
      <c r="BI125" s="3" t="s">
        <v>186</v>
      </c>
      <c r="BJ125" s="3" t="s">
        <v>186</v>
      </c>
      <c r="BK125" s="3" t="s">
        <v>186</v>
      </c>
      <c r="BL125" s="3" t="s">
        <v>186</v>
      </c>
      <c r="BM125" s="3" t="s">
        <v>186</v>
      </c>
      <c r="BN125" s="3" t="s">
        <v>186</v>
      </c>
      <c r="BO125" s="3" t="s">
        <v>186</v>
      </c>
      <c r="BP125" s="3" t="s">
        <v>186</v>
      </c>
      <c r="BQ125" s="3" t="s">
        <v>186</v>
      </c>
      <c r="BR125" s="3" t="s">
        <v>186</v>
      </c>
      <c r="BS125" s="3" t="s">
        <v>186</v>
      </c>
      <c r="BT125" s="3" t="s">
        <v>186</v>
      </c>
      <c r="BU125" s="3" t="s">
        <v>186</v>
      </c>
      <c r="BV125" s="3" t="s">
        <v>186</v>
      </c>
      <c r="BW125" s="3" t="s">
        <v>186</v>
      </c>
      <c r="BX125" s="21" t="s">
        <v>417</v>
      </c>
      <c r="BY125" s="3" t="str">
        <f t="shared" si="5"/>
        <v>Och-A_RedoLibraries</v>
      </c>
      <c r="BZ125" s="3" t="str">
        <f t="shared" si="6"/>
        <v>B12</v>
      </c>
      <c r="CA125" s="3" t="str">
        <f t="shared" si="7"/>
        <v>Och-A</v>
      </c>
      <c r="CC125" s="3">
        <v>1.5</v>
      </c>
      <c r="CD125" t="s">
        <v>493</v>
      </c>
      <c r="CE125" s="21" t="str">
        <f t="shared" si="21"/>
        <v>OcA0102412B</v>
      </c>
      <c r="CF125" s="21" t="str">
        <f t="shared" si="9"/>
        <v>Och-ACat_024-Ex1-12B-lcwgs-2-1</v>
      </c>
      <c r="CG125" s="3">
        <f t="shared" si="19"/>
        <v>1.5</v>
      </c>
      <c r="CH125">
        <v>3303490</v>
      </c>
      <c r="CI125">
        <v>1473073</v>
      </c>
      <c r="CJ125" s="27" t="s">
        <v>79</v>
      </c>
      <c r="CK125" s="3">
        <v>0.51714177373235493</v>
      </c>
      <c r="CL125" t="s">
        <v>1198</v>
      </c>
      <c r="CM125" s="33" t="s">
        <v>1660</v>
      </c>
      <c r="CN125" s="3" t="str">
        <f t="shared" si="22"/>
        <v>Och-ACat_024-Ex1-12B-lcwgs-2-2</v>
      </c>
      <c r="CR125"/>
    </row>
    <row r="126" spans="1:1020" x14ac:dyDescent="0.55000000000000004">
      <c r="A126" t="s">
        <v>225</v>
      </c>
      <c r="B126" t="s">
        <v>731</v>
      </c>
      <c r="C126" s="3">
        <v>2</v>
      </c>
      <c r="E126" t="s">
        <v>198</v>
      </c>
      <c r="F126">
        <v>1</v>
      </c>
      <c r="G126" t="s">
        <v>83</v>
      </c>
      <c r="H126">
        <v>7.3466883330590749</v>
      </c>
      <c r="I126" s="3" t="s">
        <v>74</v>
      </c>
      <c r="J126" s="3">
        <v>0.2</v>
      </c>
      <c r="K126" s="3">
        <v>7.25</v>
      </c>
      <c r="L126" s="3">
        <v>0.25</v>
      </c>
      <c r="O126" s="3">
        <v>200</v>
      </c>
      <c r="P126" s="3">
        <v>27.223150204974374</v>
      </c>
      <c r="R126" s="3">
        <v>10</v>
      </c>
      <c r="S126" s="4">
        <v>45141</v>
      </c>
      <c r="T126" s="3" t="s">
        <v>282</v>
      </c>
      <c r="U126" s="3" t="s">
        <v>412</v>
      </c>
      <c r="V126" s="11" t="s">
        <v>99</v>
      </c>
      <c r="W126" s="11">
        <v>1</v>
      </c>
      <c r="X126" s="11" t="s">
        <v>104</v>
      </c>
      <c r="Y126" s="11">
        <v>1</v>
      </c>
      <c r="Z126">
        <v>1</v>
      </c>
      <c r="AA126" t="s">
        <v>83</v>
      </c>
      <c r="AB126" t="s">
        <v>413</v>
      </c>
      <c r="AC126" s="3" t="s">
        <v>78</v>
      </c>
      <c r="AD126" s="3">
        <v>2</v>
      </c>
      <c r="AE126">
        <v>1</v>
      </c>
      <c r="AF126" t="s">
        <v>83</v>
      </c>
      <c r="AG126" t="s">
        <v>642</v>
      </c>
      <c r="AH126" s="17" t="s">
        <v>643</v>
      </c>
      <c r="AI126" t="s">
        <v>616</v>
      </c>
      <c r="AJ126" s="18" t="s">
        <v>617</v>
      </c>
      <c r="AO126" s="10">
        <v>0.72736999999999996</v>
      </c>
      <c r="AP126" s="3">
        <v>37</v>
      </c>
      <c r="AQ126" s="3">
        <f t="shared" si="3"/>
        <v>26.912689999999998</v>
      </c>
      <c r="BE126" s="3" t="s">
        <v>79</v>
      </c>
      <c r="BF126" s="3" t="s">
        <v>415</v>
      </c>
      <c r="BG126" s="3" t="s">
        <v>416</v>
      </c>
      <c r="BH126" s="3">
        <v>1</v>
      </c>
      <c r="BI126" s="3" t="str">
        <f>AA126&amp;Z126</f>
        <v>C1</v>
      </c>
      <c r="BJ126" s="3">
        <v>1</v>
      </c>
      <c r="BK126" s="3" t="str">
        <f>BR126&amp;BQ126</f>
        <v>C3</v>
      </c>
      <c r="BL126" s="10">
        <v>1.5</v>
      </c>
      <c r="BM126" s="3">
        <v>0.4</v>
      </c>
      <c r="BN126" s="3">
        <f>AO126*BL126/BM126</f>
        <v>2.7276374999999997</v>
      </c>
      <c r="BO126" s="3">
        <f>BN126-BL126</f>
        <v>1.2276374999999997</v>
      </c>
      <c r="BP126" s="3" t="s">
        <v>420</v>
      </c>
      <c r="BQ126">
        <v>3</v>
      </c>
      <c r="BR126" t="s">
        <v>83</v>
      </c>
      <c r="BS126" s="3">
        <v>1</v>
      </c>
      <c r="BT126" s="3" t="s">
        <v>418</v>
      </c>
      <c r="BU126" s="3">
        <v>1</v>
      </c>
      <c r="BV126" s="3" t="str">
        <f>BR126&amp;BQ126</f>
        <v>C3</v>
      </c>
      <c r="BW126" s="3">
        <f>BO126</f>
        <v>1.2276374999999997</v>
      </c>
      <c r="BX126" s="21" t="s">
        <v>417</v>
      </c>
      <c r="BY126" s="3" t="str">
        <f t="shared" si="5"/>
        <v>Och-Mixed_Dilution Plate</v>
      </c>
      <c r="BZ126" s="3" t="str">
        <f t="shared" si="6"/>
        <v>C3</v>
      </c>
      <c r="CA126" s="3" t="str">
        <f t="shared" si="7"/>
        <v>Och-A</v>
      </c>
      <c r="CC126" s="3">
        <v>1.5</v>
      </c>
      <c r="CD126" t="s">
        <v>462</v>
      </c>
      <c r="CE126" s="21" t="str">
        <f t="shared" si="21"/>
        <v>OcA0102501C</v>
      </c>
      <c r="CF126" s="21" t="str">
        <f t="shared" si="9"/>
        <v>Och-ACat_025-Ex1-1C-lcwgs-2-1</v>
      </c>
      <c r="CG126" s="3">
        <f t="shared" si="19"/>
        <v>0.8248896710065029</v>
      </c>
      <c r="CH126">
        <v>2812253</v>
      </c>
      <c r="CI126">
        <v>2165152</v>
      </c>
      <c r="CJ126" s="27" t="s">
        <v>79</v>
      </c>
      <c r="CK126" s="3">
        <v>0.1908805512689454</v>
      </c>
      <c r="CL126" t="s">
        <v>1198</v>
      </c>
      <c r="CM126" s="33" t="s">
        <v>1662</v>
      </c>
      <c r="CN126" s="3" t="str">
        <f t="shared" si="22"/>
        <v>Och-ACat_025-Ex1-1C-lcwgs-2-2</v>
      </c>
      <c r="CR126"/>
    </row>
    <row r="127" spans="1:1020" x14ac:dyDescent="0.55000000000000004">
      <c r="A127" t="s">
        <v>267</v>
      </c>
      <c r="B127" t="s">
        <v>769</v>
      </c>
      <c r="C127" s="3">
        <v>2</v>
      </c>
      <c r="E127" t="s">
        <v>198</v>
      </c>
      <c r="F127">
        <v>6</v>
      </c>
      <c r="G127" t="s">
        <v>88</v>
      </c>
      <c r="H127">
        <v>11.974563929570511</v>
      </c>
      <c r="I127" s="3" t="s">
        <v>74</v>
      </c>
      <c r="J127" s="3">
        <v>0.2</v>
      </c>
      <c r="K127" s="3">
        <v>7.25</v>
      </c>
      <c r="L127" s="3">
        <v>0.25</v>
      </c>
      <c r="O127" s="3">
        <v>200</v>
      </c>
      <c r="P127" s="3">
        <v>16.702069584856552</v>
      </c>
      <c r="R127" s="3">
        <v>10</v>
      </c>
      <c r="S127" s="4">
        <v>45141</v>
      </c>
      <c r="T127" s="3" t="s">
        <v>282</v>
      </c>
      <c r="U127" s="3" t="s">
        <v>412</v>
      </c>
      <c r="V127" s="11" t="s">
        <v>100</v>
      </c>
      <c r="W127" s="11">
        <v>12</v>
      </c>
      <c r="X127" s="11" t="s">
        <v>107</v>
      </c>
      <c r="Y127" s="11">
        <v>12</v>
      </c>
      <c r="Z127">
        <v>6</v>
      </c>
      <c r="AA127" t="s">
        <v>88</v>
      </c>
      <c r="AB127" t="s">
        <v>413</v>
      </c>
      <c r="AC127" s="3" t="s">
        <v>78</v>
      </c>
      <c r="AD127" s="3">
        <v>2</v>
      </c>
      <c r="AE127">
        <v>6</v>
      </c>
      <c r="AF127" t="s">
        <v>88</v>
      </c>
      <c r="AG127" t="s">
        <v>648</v>
      </c>
      <c r="AH127" s="17" t="s">
        <v>649</v>
      </c>
      <c r="AI127" t="s">
        <v>626</v>
      </c>
      <c r="AJ127" s="18" t="s">
        <v>627</v>
      </c>
      <c r="AO127" s="10">
        <v>0.46756399999999998</v>
      </c>
      <c r="AP127" s="3">
        <v>37</v>
      </c>
      <c r="AQ127" s="3">
        <f t="shared" si="3"/>
        <v>17.299868</v>
      </c>
      <c r="BE127" s="3" t="s">
        <v>79</v>
      </c>
      <c r="BF127" s="3" t="s">
        <v>415</v>
      </c>
      <c r="BG127" s="3" t="s">
        <v>186</v>
      </c>
      <c r="BH127" s="3" t="s">
        <v>186</v>
      </c>
      <c r="BI127" s="3" t="s">
        <v>186</v>
      </c>
      <c r="BJ127" s="3" t="s">
        <v>186</v>
      </c>
      <c r="BK127" s="3" t="s">
        <v>186</v>
      </c>
      <c r="BL127" s="3" t="s">
        <v>186</v>
      </c>
      <c r="BM127" s="3" t="s">
        <v>186</v>
      </c>
      <c r="BN127" s="3" t="s">
        <v>186</v>
      </c>
      <c r="BO127" s="3" t="s">
        <v>186</v>
      </c>
      <c r="BP127" s="3" t="s">
        <v>186</v>
      </c>
      <c r="BQ127" s="3" t="s">
        <v>186</v>
      </c>
      <c r="BR127" s="3" t="s">
        <v>186</v>
      </c>
      <c r="BS127" s="3" t="s">
        <v>186</v>
      </c>
      <c r="BT127" s="3" t="s">
        <v>186</v>
      </c>
      <c r="BU127" s="3" t="s">
        <v>186</v>
      </c>
      <c r="BV127" s="3" t="s">
        <v>186</v>
      </c>
      <c r="BW127" s="3" t="s">
        <v>186</v>
      </c>
      <c r="BX127" s="21" t="s">
        <v>417</v>
      </c>
      <c r="BY127" s="3" t="str">
        <f t="shared" si="5"/>
        <v>Och-A_RedoLibraries</v>
      </c>
      <c r="BZ127" s="3" t="str">
        <f t="shared" si="6"/>
        <v>F6</v>
      </c>
      <c r="CA127" s="3" t="str">
        <f t="shared" si="7"/>
        <v>Och-A</v>
      </c>
      <c r="CC127" s="3">
        <v>1.5</v>
      </c>
      <c r="CD127" t="s">
        <v>462</v>
      </c>
      <c r="CE127" s="21" t="str">
        <f t="shared" si="21"/>
        <v>OcA0102506F</v>
      </c>
      <c r="CF127" s="21" t="str">
        <f t="shared" si="9"/>
        <v>Och-ATum_025-Ex1-6F-lcwgs-2-1</v>
      </c>
      <c r="CG127" s="3">
        <f t="shared" si="19"/>
        <v>1.5</v>
      </c>
      <c r="CH127">
        <v>1373195</v>
      </c>
      <c r="CI127">
        <v>1042829</v>
      </c>
      <c r="CJ127" t="s">
        <v>79</v>
      </c>
      <c r="CK127" s="3">
        <v>0.95007516018765636</v>
      </c>
      <c r="CL127" t="s">
        <v>1200</v>
      </c>
      <c r="CM127" s="33" t="s">
        <v>1663</v>
      </c>
      <c r="CN127" s="3" t="str">
        <f t="shared" si="22"/>
        <v>Och-ATum_025-Ex1-6F-lcwgs-2-2</v>
      </c>
      <c r="CR127"/>
    </row>
    <row r="128" spans="1:1020" x14ac:dyDescent="0.55000000000000004">
      <c r="A128" t="s">
        <v>226</v>
      </c>
      <c r="B128" t="s">
        <v>732</v>
      </c>
      <c r="C128" s="3">
        <v>2</v>
      </c>
      <c r="E128" t="s">
        <v>198</v>
      </c>
      <c r="F128">
        <v>2</v>
      </c>
      <c r="G128" t="s">
        <v>83</v>
      </c>
      <c r="H128">
        <v>9.4454507756211434</v>
      </c>
      <c r="I128" s="3" t="s">
        <v>74</v>
      </c>
      <c r="J128" s="3">
        <v>0.2</v>
      </c>
      <c r="K128" s="3">
        <v>7.25</v>
      </c>
      <c r="L128" s="3">
        <v>0.25</v>
      </c>
      <c r="O128" s="3">
        <v>200</v>
      </c>
      <c r="P128" s="3">
        <v>21.17421441824705</v>
      </c>
      <c r="R128" s="3">
        <v>10</v>
      </c>
      <c r="S128" s="4">
        <v>45141</v>
      </c>
      <c r="T128" s="3" t="s">
        <v>282</v>
      </c>
      <c r="U128" s="3" t="s">
        <v>412</v>
      </c>
      <c r="V128" s="11" t="s">
        <v>99</v>
      </c>
      <c r="W128" s="11">
        <v>3</v>
      </c>
      <c r="X128" s="11" t="s">
        <v>104</v>
      </c>
      <c r="Y128" s="11">
        <v>3</v>
      </c>
      <c r="Z128">
        <v>2</v>
      </c>
      <c r="AA128" t="s">
        <v>83</v>
      </c>
      <c r="AB128" t="s">
        <v>413</v>
      </c>
      <c r="AC128" s="3" t="s">
        <v>78</v>
      </c>
      <c r="AD128" s="3">
        <v>2</v>
      </c>
      <c r="AE128">
        <v>2</v>
      </c>
      <c r="AF128" t="s">
        <v>83</v>
      </c>
      <c r="AG128" t="s">
        <v>642</v>
      </c>
      <c r="AH128" s="17" t="s">
        <v>643</v>
      </c>
      <c r="AI128" t="s">
        <v>618</v>
      </c>
      <c r="AJ128" s="18" t="s">
        <v>619</v>
      </c>
      <c r="AO128" s="10">
        <v>1.326317</v>
      </c>
      <c r="AP128" s="3">
        <v>37</v>
      </c>
      <c r="AQ128" s="3">
        <f t="shared" si="3"/>
        <v>49.073729</v>
      </c>
      <c r="BE128" s="3" t="s">
        <v>79</v>
      </c>
      <c r="BF128" s="3" t="s">
        <v>415</v>
      </c>
      <c r="BG128" s="3" t="s">
        <v>416</v>
      </c>
      <c r="BH128" s="3">
        <v>1</v>
      </c>
      <c r="BI128" s="3" t="str">
        <f>AA128&amp;Z128</f>
        <v>C2</v>
      </c>
      <c r="BJ128" s="3">
        <v>1</v>
      </c>
      <c r="BK128" s="3" t="str">
        <f>BR128&amp;BQ128</f>
        <v>B5</v>
      </c>
      <c r="BL128" s="10">
        <v>1.5</v>
      </c>
      <c r="BM128" s="3">
        <v>0.4</v>
      </c>
      <c r="BN128" s="3">
        <f>AO128*BL128/BM128</f>
        <v>4.97368875</v>
      </c>
      <c r="BO128" s="3">
        <f>BN128-BL128</f>
        <v>3.47368875</v>
      </c>
      <c r="BP128" s="3" t="s">
        <v>420</v>
      </c>
      <c r="BQ128">
        <v>5</v>
      </c>
      <c r="BR128" t="s">
        <v>76</v>
      </c>
      <c r="BS128" s="3">
        <v>1</v>
      </c>
      <c r="BT128" s="3" t="s">
        <v>418</v>
      </c>
      <c r="BU128" s="3">
        <v>1</v>
      </c>
      <c r="BV128" s="3" t="str">
        <f>BR128&amp;BQ128</f>
        <v>B5</v>
      </c>
      <c r="BW128" s="3">
        <f>BO128</f>
        <v>3.47368875</v>
      </c>
      <c r="BX128" s="21" t="s">
        <v>417</v>
      </c>
      <c r="BY128" s="3" t="str">
        <f t="shared" si="5"/>
        <v>Och-Mixed_Dilution Plate</v>
      </c>
      <c r="BZ128" s="3" t="str">
        <f t="shared" si="6"/>
        <v>B5</v>
      </c>
      <c r="CA128" s="3" t="str">
        <f t="shared" si="7"/>
        <v>Och-A</v>
      </c>
      <c r="CC128" s="3">
        <v>1.5</v>
      </c>
      <c r="CD128" t="s">
        <v>469</v>
      </c>
      <c r="CE128" s="21" t="str">
        <f t="shared" si="21"/>
        <v>OcA0102602C</v>
      </c>
      <c r="CF128" s="21" t="str">
        <f t="shared" si="9"/>
        <v>Och-ACat_026-Ex1-2C-lcwgs-2-1</v>
      </c>
      <c r="CG128" s="3">
        <f t="shared" si="19"/>
        <v>0.45238053949395202</v>
      </c>
      <c r="CH128">
        <v>4549260</v>
      </c>
      <c r="CI128">
        <v>3530867</v>
      </c>
      <c r="CJ128" s="27" t="s">
        <v>79</v>
      </c>
      <c r="CK128" s="3">
        <v>6.2462193717233029E-2</v>
      </c>
      <c r="CL128" t="s">
        <v>1198</v>
      </c>
      <c r="CM128" s="33" t="s">
        <v>1664</v>
      </c>
      <c r="CN128" s="3" t="str">
        <f t="shared" si="22"/>
        <v>Och-ACat_026-Ex1-2C-lcwgs-2-2</v>
      </c>
      <c r="CR128"/>
    </row>
    <row r="129" spans="1:96" x14ac:dyDescent="0.55000000000000004">
      <c r="A129" t="s">
        <v>268</v>
      </c>
      <c r="B129" t="s">
        <v>770</v>
      </c>
      <c r="C129" s="3">
        <v>2</v>
      </c>
      <c r="E129" t="s">
        <v>198</v>
      </c>
      <c r="F129">
        <v>7</v>
      </c>
      <c r="G129" t="s">
        <v>88</v>
      </c>
      <c r="H129">
        <v>46.354875819634792</v>
      </c>
      <c r="I129" s="3" t="s">
        <v>74</v>
      </c>
      <c r="J129" s="3">
        <v>0.2</v>
      </c>
      <c r="K129" s="3">
        <v>7.25</v>
      </c>
      <c r="L129" s="3">
        <v>0.25</v>
      </c>
      <c r="O129" s="3">
        <v>200</v>
      </c>
      <c r="P129" s="3">
        <v>4.3145407352226126</v>
      </c>
      <c r="R129" s="3">
        <v>10</v>
      </c>
      <c r="S129" s="4">
        <v>45141</v>
      </c>
      <c r="T129" s="3" t="s">
        <v>282</v>
      </c>
      <c r="U129" s="3" t="s">
        <v>412</v>
      </c>
      <c r="V129" s="11" t="s">
        <v>100</v>
      </c>
      <c r="W129" s="11">
        <v>14</v>
      </c>
      <c r="X129" s="11" t="s">
        <v>107</v>
      </c>
      <c r="Y129" s="11">
        <v>14</v>
      </c>
      <c r="Z129">
        <v>7</v>
      </c>
      <c r="AA129" t="s">
        <v>88</v>
      </c>
      <c r="AB129" t="s">
        <v>413</v>
      </c>
      <c r="AC129" s="3" t="s">
        <v>78</v>
      </c>
      <c r="AD129" s="3">
        <v>2</v>
      </c>
      <c r="AE129">
        <v>7</v>
      </c>
      <c r="AF129" t="s">
        <v>88</v>
      </c>
      <c r="AG129" t="s">
        <v>648</v>
      </c>
      <c r="AH129" s="17" t="s">
        <v>649</v>
      </c>
      <c r="AI129" t="s">
        <v>628</v>
      </c>
      <c r="AJ129" s="18" t="s">
        <v>629</v>
      </c>
      <c r="AO129" s="10">
        <v>0.478742</v>
      </c>
      <c r="AP129" s="3">
        <v>37</v>
      </c>
      <c r="AQ129" s="3">
        <f t="shared" si="3"/>
        <v>17.713453999999999</v>
      </c>
      <c r="BE129" s="3" t="s">
        <v>79</v>
      </c>
      <c r="BF129" s="3" t="s">
        <v>415</v>
      </c>
      <c r="BG129" s="3" t="s">
        <v>186</v>
      </c>
      <c r="BH129" s="3" t="s">
        <v>186</v>
      </c>
      <c r="BI129" s="3" t="s">
        <v>186</v>
      </c>
      <c r="BJ129" s="3" t="s">
        <v>186</v>
      </c>
      <c r="BK129" s="3" t="s">
        <v>186</v>
      </c>
      <c r="BL129" s="3" t="s">
        <v>186</v>
      </c>
      <c r="BM129" s="3" t="s">
        <v>186</v>
      </c>
      <c r="BN129" s="3" t="s">
        <v>186</v>
      </c>
      <c r="BO129" s="3" t="s">
        <v>186</v>
      </c>
      <c r="BP129" s="3" t="s">
        <v>186</v>
      </c>
      <c r="BQ129" s="3" t="s">
        <v>186</v>
      </c>
      <c r="BR129" s="3" t="s">
        <v>186</v>
      </c>
      <c r="BS129" s="3" t="s">
        <v>186</v>
      </c>
      <c r="BT129" s="3" t="s">
        <v>186</v>
      </c>
      <c r="BU129" s="3" t="s">
        <v>186</v>
      </c>
      <c r="BV129" s="3" t="s">
        <v>186</v>
      </c>
      <c r="BW129" s="3" t="s">
        <v>186</v>
      </c>
      <c r="BX129" s="21" t="s">
        <v>417</v>
      </c>
      <c r="BY129" s="3" t="str">
        <f t="shared" si="5"/>
        <v>Och-A_RedoLibraries</v>
      </c>
      <c r="BZ129" s="3" t="str">
        <f t="shared" si="6"/>
        <v>F7</v>
      </c>
      <c r="CA129" s="3" t="str">
        <f t="shared" si="7"/>
        <v>Och-A</v>
      </c>
      <c r="CC129" s="3">
        <v>1.5</v>
      </c>
      <c r="CD129" t="s">
        <v>469</v>
      </c>
      <c r="CE129" s="21" t="str">
        <f t="shared" si="21"/>
        <v>OcA0102607F</v>
      </c>
      <c r="CF129" s="21" t="str">
        <f t="shared" si="9"/>
        <v>Och-ATum_026-Ex1-7F-lcwgs-2-1</v>
      </c>
      <c r="CG129" s="3">
        <f t="shared" si="19"/>
        <v>1.5</v>
      </c>
      <c r="CH129">
        <v>72319</v>
      </c>
      <c r="CI129">
        <v>62561</v>
      </c>
      <c r="CJ129" t="s">
        <v>79</v>
      </c>
      <c r="CK129" s="3">
        <v>16.175518883292618</v>
      </c>
      <c r="CL129" t="s">
        <v>1200</v>
      </c>
      <c r="CM129" s="33" t="s">
        <v>1665</v>
      </c>
      <c r="CN129" s="3" t="str">
        <f t="shared" si="22"/>
        <v>Och-ATum_026-Ex1-7F-lcwgs-2-2</v>
      </c>
      <c r="CR129"/>
    </row>
    <row r="130" spans="1:96" x14ac:dyDescent="0.55000000000000004">
      <c r="A130" t="s">
        <v>227</v>
      </c>
      <c r="B130" t="s">
        <v>733</v>
      </c>
      <c r="C130" s="3">
        <v>2</v>
      </c>
      <c r="E130" t="s">
        <v>198</v>
      </c>
      <c r="F130">
        <v>3</v>
      </c>
      <c r="G130" t="s">
        <v>83</v>
      </c>
      <c r="H130">
        <v>6.8598527233832485</v>
      </c>
      <c r="I130" s="3" t="s">
        <v>74</v>
      </c>
      <c r="J130" s="3">
        <v>0.2</v>
      </c>
      <c r="K130" s="3">
        <v>7.25</v>
      </c>
      <c r="L130" s="3">
        <v>0.25</v>
      </c>
      <c r="O130" s="3">
        <v>200</v>
      </c>
      <c r="P130" s="3">
        <v>29.155144879168908</v>
      </c>
      <c r="R130" s="3">
        <v>10</v>
      </c>
      <c r="S130" s="4">
        <v>45141</v>
      </c>
      <c r="T130" s="3" t="s">
        <v>282</v>
      </c>
      <c r="U130" s="3" t="s">
        <v>412</v>
      </c>
      <c r="V130" s="11" t="s">
        <v>99</v>
      </c>
      <c r="W130" s="11">
        <v>5</v>
      </c>
      <c r="X130" s="11" t="s">
        <v>104</v>
      </c>
      <c r="Y130" s="11">
        <v>5</v>
      </c>
      <c r="Z130">
        <v>3</v>
      </c>
      <c r="AA130" t="s">
        <v>83</v>
      </c>
      <c r="AB130" t="s">
        <v>413</v>
      </c>
      <c r="AC130" s="3" t="s">
        <v>78</v>
      </c>
      <c r="AD130" s="3">
        <v>2</v>
      </c>
      <c r="AE130">
        <v>3</v>
      </c>
      <c r="AF130" t="s">
        <v>83</v>
      </c>
      <c r="AG130" t="s">
        <v>642</v>
      </c>
      <c r="AH130" s="17" t="s">
        <v>643</v>
      </c>
      <c r="AI130" t="s">
        <v>620</v>
      </c>
      <c r="AJ130" s="18" t="s">
        <v>621</v>
      </c>
      <c r="AO130" s="10">
        <v>1.014464</v>
      </c>
      <c r="AP130" s="3">
        <v>37</v>
      </c>
      <c r="AQ130" s="3">
        <f t="shared" ref="AQ130:AQ193" si="23">AO130*AP130</f>
        <v>37.535167999999999</v>
      </c>
      <c r="BE130" s="3" t="s">
        <v>79</v>
      </c>
      <c r="BF130" s="3" t="s">
        <v>415</v>
      </c>
      <c r="BG130" s="3" t="s">
        <v>416</v>
      </c>
      <c r="BH130" s="3">
        <v>1</v>
      </c>
      <c r="BI130" s="3" t="str">
        <f>AA130&amp;Z130</f>
        <v>C3</v>
      </c>
      <c r="BJ130" s="3">
        <v>1</v>
      </c>
      <c r="BK130" s="3" t="str">
        <f>BR130&amp;BQ130</f>
        <v>D4</v>
      </c>
      <c r="BL130" s="10">
        <v>1.5</v>
      </c>
      <c r="BM130" s="3">
        <v>0.4</v>
      </c>
      <c r="BN130" s="3">
        <f>AO130*BL130/BM130</f>
        <v>3.8042399999999996</v>
      </c>
      <c r="BO130" s="3">
        <f>BN130-BL130</f>
        <v>2.3042399999999996</v>
      </c>
      <c r="BP130" s="3" t="s">
        <v>420</v>
      </c>
      <c r="BQ130">
        <v>4</v>
      </c>
      <c r="BR130" t="s">
        <v>84</v>
      </c>
      <c r="BS130" s="3">
        <v>1</v>
      </c>
      <c r="BT130" s="3" t="s">
        <v>418</v>
      </c>
      <c r="BU130" s="3">
        <v>1</v>
      </c>
      <c r="BV130" s="3" t="str">
        <f>BR130&amp;BQ130</f>
        <v>D4</v>
      </c>
      <c r="BW130" s="3">
        <f>BO130</f>
        <v>2.3042399999999996</v>
      </c>
      <c r="BX130" s="21" t="s">
        <v>417</v>
      </c>
      <c r="BY130" s="3" t="str">
        <f t="shared" si="5"/>
        <v>Och-Mixed_Dilution Plate</v>
      </c>
      <c r="BZ130" s="3" t="str">
        <f t="shared" si="6"/>
        <v>D4</v>
      </c>
      <c r="CA130" s="3" t="str">
        <f t="shared" si="7"/>
        <v>Och-A</v>
      </c>
      <c r="CC130" s="3">
        <v>1.5</v>
      </c>
      <c r="CD130" t="s">
        <v>476</v>
      </c>
      <c r="CE130" s="21" t="str">
        <f t="shared" si="21"/>
        <v>OcA0102703C</v>
      </c>
      <c r="CF130" s="21" t="str">
        <f t="shared" si="9"/>
        <v>Och-ACat_027-Ex1-3C-lcwgs-2-1</v>
      </c>
      <c r="CG130" s="3">
        <f t="shared" si="19"/>
        <v>0.59144533467920013</v>
      </c>
      <c r="CH130">
        <v>3259634</v>
      </c>
      <c r="CI130">
        <v>2459441</v>
      </c>
      <c r="CJ130" s="27" t="s">
        <v>79</v>
      </c>
      <c r="CK130" s="3">
        <v>0.11978546062370045</v>
      </c>
      <c r="CL130" t="s">
        <v>1198</v>
      </c>
      <c r="CM130" s="33" t="s">
        <v>1666</v>
      </c>
      <c r="CN130" s="3" t="str">
        <f t="shared" si="22"/>
        <v>Och-ACat_027-Ex1-3C-lcwgs-2-2</v>
      </c>
      <c r="CR130"/>
    </row>
    <row r="131" spans="1:96" x14ac:dyDescent="0.55000000000000004">
      <c r="A131" t="s">
        <v>269</v>
      </c>
      <c r="B131" t="s">
        <v>771</v>
      </c>
      <c r="C131" s="3">
        <v>2</v>
      </c>
      <c r="E131" t="s">
        <v>198</v>
      </c>
      <c r="F131">
        <v>8</v>
      </c>
      <c r="G131" t="s">
        <v>88</v>
      </c>
      <c r="H131">
        <v>9.1270569359881506</v>
      </c>
      <c r="I131" s="3" t="s">
        <v>74</v>
      </c>
      <c r="J131" s="3">
        <v>0.2</v>
      </c>
      <c r="K131" s="3">
        <v>7.25</v>
      </c>
      <c r="L131" s="3">
        <v>0.25</v>
      </c>
      <c r="O131" s="3">
        <v>200</v>
      </c>
      <c r="P131" s="3">
        <v>21.912868671980821</v>
      </c>
      <c r="R131" s="3">
        <v>10</v>
      </c>
      <c r="S131" s="4">
        <v>45141</v>
      </c>
      <c r="T131" s="3" t="s">
        <v>282</v>
      </c>
      <c r="U131" s="3" t="s">
        <v>412</v>
      </c>
      <c r="V131" s="11" t="s">
        <v>100</v>
      </c>
      <c r="W131" s="11">
        <v>16</v>
      </c>
      <c r="X131" s="11" t="s">
        <v>107</v>
      </c>
      <c r="Y131" s="11">
        <v>16</v>
      </c>
      <c r="Z131">
        <v>8</v>
      </c>
      <c r="AA131" t="s">
        <v>88</v>
      </c>
      <c r="AB131" t="s">
        <v>413</v>
      </c>
      <c r="AC131" s="3" t="s">
        <v>78</v>
      </c>
      <c r="AD131" s="3">
        <v>2</v>
      </c>
      <c r="AE131">
        <v>8</v>
      </c>
      <c r="AF131" t="s">
        <v>88</v>
      </c>
      <c r="AG131" t="s">
        <v>648</v>
      </c>
      <c r="AH131" s="17" t="s">
        <v>649</v>
      </c>
      <c r="AI131" t="s">
        <v>630</v>
      </c>
      <c r="AJ131" s="18" t="s">
        <v>631</v>
      </c>
      <c r="AO131" s="10">
        <v>0.58843699999999999</v>
      </c>
      <c r="AP131" s="3">
        <v>37</v>
      </c>
      <c r="AQ131" s="3">
        <f t="shared" si="23"/>
        <v>21.772168999999998</v>
      </c>
      <c r="BE131" s="3" t="s">
        <v>79</v>
      </c>
      <c r="BF131" s="3" t="s">
        <v>415</v>
      </c>
      <c r="BG131" s="3" t="s">
        <v>416</v>
      </c>
      <c r="BH131" s="3">
        <v>1</v>
      </c>
      <c r="BI131" s="3" t="str">
        <f>AA131&amp;Z131</f>
        <v>F8</v>
      </c>
      <c r="BJ131" s="3">
        <v>1</v>
      </c>
      <c r="BK131" s="3" t="str">
        <f>BR131&amp;BQ131</f>
        <v>E1</v>
      </c>
      <c r="BL131" s="10">
        <v>1.5</v>
      </c>
      <c r="BM131" s="3">
        <v>0.4</v>
      </c>
      <c r="BN131" s="3">
        <f>AO131*BL131/BM131</f>
        <v>2.2066387499999998</v>
      </c>
      <c r="BO131" s="3">
        <f>BN131-BL131</f>
        <v>0.70663874999999976</v>
      </c>
      <c r="BP131" s="3" t="s">
        <v>420</v>
      </c>
      <c r="BQ131">
        <v>1</v>
      </c>
      <c r="BR131" t="s">
        <v>87</v>
      </c>
      <c r="BS131" s="3">
        <v>1</v>
      </c>
      <c r="BT131" s="3" t="s">
        <v>418</v>
      </c>
      <c r="BU131" s="3">
        <v>1</v>
      </c>
      <c r="BV131" s="3" t="str">
        <f>BR131&amp;BQ131</f>
        <v>E1</v>
      </c>
      <c r="BW131" s="3">
        <f>BO131</f>
        <v>0.70663874999999976</v>
      </c>
      <c r="BX131" s="21" t="s">
        <v>417</v>
      </c>
      <c r="BY131" s="3" t="str">
        <f t="shared" si="5"/>
        <v>Och-Mixed_Dilution Plate</v>
      </c>
      <c r="BZ131" s="3" t="str">
        <f t="shared" si="6"/>
        <v>E1</v>
      </c>
      <c r="CA131" s="3" t="str">
        <f t="shared" si="7"/>
        <v>Och-A</v>
      </c>
      <c r="CC131" s="3">
        <v>1.5</v>
      </c>
      <c r="CD131" t="s">
        <v>476</v>
      </c>
      <c r="CE131" s="21" t="str">
        <f t="shared" si="21"/>
        <v>OcA0102708F</v>
      </c>
      <c r="CF131" s="21" t="str">
        <f t="shared" si="9"/>
        <v>Och-ATum_027-Ex1-8F-lcwgs-2-1</v>
      </c>
      <c r="CG131" s="3">
        <f t="shared" si="19"/>
        <v>1.0196503618909076</v>
      </c>
      <c r="CH131">
        <v>1113266</v>
      </c>
      <c r="CI131">
        <v>850678</v>
      </c>
      <c r="CJ131" t="s">
        <v>79</v>
      </c>
      <c r="CK131" s="3">
        <v>0.79502878059870419</v>
      </c>
      <c r="CL131" t="s">
        <v>1200</v>
      </c>
      <c r="CM131" s="33" t="s">
        <v>1667</v>
      </c>
      <c r="CN131" s="3" t="str">
        <f t="shared" si="22"/>
        <v>Och-ATum_027-Ex1-8F-lcwgs-2-2</v>
      </c>
      <c r="CR131"/>
    </row>
    <row r="132" spans="1:96" x14ac:dyDescent="0.55000000000000004">
      <c r="A132" t="s">
        <v>228</v>
      </c>
      <c r="B132" t="s">
        <v>734</v>
      </c>
      <c r="C132" s="3">
        <v>2</v>
      </c>
      <c r="E132" t="s">
        <v>198</v>
      </c>
      <c r="F132">
        <v>4</v>
      </c>
      <c r="G132" t="s">
        <v>83</v>
      </c>
      <c r="H132">
        <v>20.47090669738358</v>
      </c>
      <c r="I132" s="3" t="s">
        <v>74</v>
      </c>
      <c r="J132" s="3">
        <v>0.2</v>
      </c>
      <c r="K132" s="3">
        <v>7.25</v>
      </c>
      <c r="L132" s="3">
        <v>0.25</v>
      </c>
      <c r="O132" s="3">
        <v>200</v>
      </c>
      <c r="P132" s="3">
        <v>9.7699629506670718</v>
      </c>
      <c r="R132" s="3">
        <v>10</v>
      </c>
      <c r="S132" s="4">
        <v>45141</v>
      </c>
      <c r="T132" s="3" t="s">
        <v>282</v>
      </c>
      <c r="U132" s="3" t="s">
        <v>412</v>
      </c>
      <c r="V132" s="11" t="s">
        <v>99</v>
      </c>
      <c r="W132" s="11">
        <v>7</v>
      </c>
      <c r="X132" s="11" t="s">
        <v>104</v>
      </c>
      <c r="Y132" s="11">
        <v>7</v>
      </c>
      <c r="Z132">
        <v>4</v>
      </c>
      <c r="AA132" t="s">
        <v>83</v>
      </c>
      <c r="AB132" t="s">
        <v>413</v>
      </c>
      <c r="AC132" s="3" t="s">
        <v>78</v>
      </c>
      <c r="AD132" s="3">
        <v>2</v>
      </c>
      <c r="AE132">
        <v>4</v>
      </c>
      <c r="AF132" t="s">
        <v>83</v>
      </c>
      <c r="AG132" t="s">
        <v>642</v>
      </c>
      <c r="AH132" s="17" t="s">
        <v>643</v>
      </c>
      <c r="AI132" t="s">
        <v>622</v>
      </c>
      <c r="AJ132" s="18" t="s">
        <v>623</v>
      </c>
      <c r="AO132" s="10">
        <v>0.387909</v>
      </c>
      <c r="AP132" s="3">
        <v>37</v>
      </c>
      <c r="AQ132" s="3">
        <f t="shared" si="23"/>
        <v>14.352633000000001</v>
      </c>
      <c r="BE132" s="3" t="s">
        <v>79</v>
      </c>
      <c r="BF132" s="3" t="s">
        <v>415</v>
      </c>
      <c r="BG132" s="3" t="s">
        <v>186</v>
      </c>
      <c r="BH132" s="3" t="s">
        <v>186</v>
      </c>
      <c r="BI132" s="3" t="s">
        <v>186</v>
      </c>
      <c r="BJ132" s="3" t="s">
        <v>186</v>
      </c>
      <c r="BK132" s="3" t="s">
        <v>186</v>
      </c>
      <c r="BL132" s="3" t="s">
        <v>186</v>
      </c>
      <c r="BM132" s="3" t="s">
        <v>186</v>
      </c>
      <c r="BN132" s="3" t="s">
        <v>186</v>
      </c>
      <c r="BO132" s="3" t="s">
        <v>186</v>
      </c>
      <c r="BP132" s="3" t="s">
        <v>186</v>
      </c>
      <c r="BQ132" s="3" t="s">
        <v>186</v>
      </c>
      <c r="BR132" s="3" t="s">
        <v>186</v>
      </c>
      <c r="BS132" s="3" t="s">
        <v>186</v>
      </c>
      <c r="BT132" s="3" t="s">
        <v>186</v>
      </c>
      <c r="BU132" s="3" t="s">
        <v>186</v>
      </c>
      <c r="BV132" s="3" t="s">
        <v>186</v>
      </c>
      <c r="BW132" s="3" t="s">
        <v>186</v>
      </c>
      <c r="BX132" s="21" t="s">
        <v>417</v>
      </c>
      <c r="BY132" s="3" t="str">
        <f t="shared" si="5"/>
        <v>Och-A_RedoLibraries</v>
      </c>
      <c r="BZ132" s="3" t="str">
        <f t="shared" si="6"/>
        <v>C4</v>
      </c>
      <c r="CA132" s="3" t="str">
        <f t="shared" si="7"/>
        <v>Och-A</v>
      </c>
      <c r="CC132" s="3">
        <v>1.5</v>
      </c>
      <c r="CD132" t="s">
        <v>483</v>
      </c>
      <c r="CE132" s="21" t="str">
        <f t="shared" si="21"/>
        <v>OcA0102804C</v>
      </c>
      <c r="CF132" s="21" t="str">
        <f t="shared" si="9"/>
        <v>Och-ACat_028-Ex1-4C-lcwgs-2-1</v>
      </c>
      <c r="CG132" s="3">
        <f t="shared" si="19"/>
        <v>1.5</v>
      </c>
      <c r="CH132">
        <v>185969</v>
      </c>
      <c r="CI132">
        <v>146288</v>
      </c>
      <c r="CJ132" s="27" t="s">
        <v>79</v>
      </c>
      <c r="CK132" s="3">
        <v>5.3418957603243475</v>
      </c>
      <c r="CL132" t="s">
        <v>1198</v>
      </c>
      <c r="CM132" s="33" t="s">
        <v>1668</v>
      </c>
      <c r="CN132" s="3" t="str">
        <f t="shared" si="22"/>
        <v>Och-ACat_028-Ex1-4C-lcwgs-2-2</v>
      </c>
      <c r="CR132"/>
    </row>
    <row r="133" spans="1:96" x14ac:dyDescent="0.55000000000000004">
      <c r="A133" t="s">
        <v>270</v>
      </c>
      <c r="B133" t="s">
        <v>772</v>
      </c>
      <c r="C133" s="3">
        <v>2</v>
      </c>
      <c r="E133" t="s">
        <v>198</v>
      </c>
      <c r="F133">
        <v>9</v>
      </c>
      <c r="G133" t="s">
        <v>88</v>
      </c>
      <c r="H133">
        <v>41.745528221161749</v>
      </c>
      <c r="I133" s="3" t="s">
        <v>74</v>
      </c>
      <c r="J133" s="3">
        <v>0.2</v>
      </c>
      <c r="K133" s="3">
        <v>7.25</v>
      </c>
      <c r="L133" s="3">
        <v>0.25</v>
      </c>
      <c r="O133" s="3">
        <v>200</v>
      </c>
      <c r="P133" s="3">
        <v>4.7909323111311233</v>
      </c>
      <c r="R133" s="3">
        <v>10</v>
      </c>
      <c r="S133" s="4">
        <v>45141</v>
      </c>
      <c r="T133" s="3" t="s">
        <v>282</v>
      </c>
      <c r="U133" s="3" t="s">
        <v>412</v>
      </c>
      <c r="V133" s="11" t="s">
        <v>100</v>
      </c>
      <c r="W133" s="11">
        <v>18</v>
      </c>
      <c r="X133" s="11" t="s">
        <v>107</v>
      </c>
      <c r="Y133" s="11">
        <v>18</v>
      </c>
      <c r="Z133">
        <v>9</v>
      </c>
      <c r="AA133" t="s">
        <v>88</v>
      </c>
      <c r="AB133" t="s">
        <v>413</v>
      </c>
      <c r="AC133" s="3" t="s">
        <v>78</v>
      </c>
      <c r="AD133" s="3">
        <v>2</v>
      </c>
      <c r="AE133">
        <v>9</v>
      </c>
      <c r="AF133" t="s">
        <v>88</v>
      </c>
      <c r="AG133" t="s">
        <v>648</v>
      </c>
      <c r="AH133" s="17" t="s">
        <v>649</v>
      </c>
      <c r="AI133" t="s">
        <v>632</v>
      </c>
      <c r="AJ133" s="18" t="s">
        <v>633</v>
      </c>
      <c r="AO133" s="10">
        <v>0.460704</v>
      </c>
      <c r="AP133" s="3">
        <v>37</v>
      </c>
      <c r="AQ133" s="3">
        <f t="shared" si="23"/>
        <v>17.046047999999999</v>
      </c>
      <c r="BE133" s="3" t="s">
        <v>79</v>
      </c>
      <c r="BF133" s="3" t="s">
        <v>415</v>
      </c>
      <c r="BG133" s="3" t="s">
        <v>186</v>
      </c>
      <c r="BH133" s="3" t="s">
        <v>186</v>
      </c>
      <c r="BI133" s="3" t="s">
        <v>186</v>
      </c>
      <c r="BJ133" s="3" t="s">
        <v>186</v>
      </c>
      <c r="BK133" s="3" t="s">
        <v>186</v>
      </c>
      <c r="BL133" s="3" t="s">
        <v>186</v>
      </c>
      <c r="BM133" s="3" t="s">
        <v>186</v>
      </c>
      <c r="BN133" s="3" t="s">
        <v>186</v>
      </c>
      <c r="BO133" s="3" t="s">
        <v>186</v>
      </c>
      <c r="BP133" s="3" t="s">
        <v>186</v>
      </c>
      <c r="BQ133" s="3" t="s">
        <v>186</v>
      </c>
      <c r="BR133" s="3" t="s">
        <v>186</v>
      </c>
      <c r="BS133" s="3" t="s">
        <v>186</v>
      </c>
      <c r="BT133" s="3" t="s">
        <v>186</v>
      </c>
      <c r="BU133" s="3" t="s">
        <v>186</v>
      </c>
      <c r="BV133" s="3" t="s">
        <v>186</v>
      </c>
      <c r="BW133" s="3" t="s">
        <v>186</v>
      </c>
      <c r="BX133" s="21" t="s">
        <v>417</v>
      </c>
      <c r="BY133" s="3" t="str">
        <f t="shared" si="5"/>
        <v>Och-A_RedoLibraries</v>
      </c>
      <c r="BZ133" s="3" t="str">
        <f t="shared" si="6"/>
        <v>F9</v>
      </c>
      <c r="CA133" s="3" t="str">
        <f t="shared" si="7"/>
        <v>Och-A</v>
      </c>
      <c r="CC133" s="3">
        <v>1.5</v>
      </c>
      <c r="CD133" t="s">
        <v>483</v>
      </c>
      <c r="CE133" s="21" t="str">
        <f t="shared" si="21"/>
        <v>OcA0102809F</v>
      </c>
      <c r="CF133" s="21" t="str">
        <f t="shared" si="9"/>
        <v>Och-ATum_028-Ex1-9F-lcwgs-2-1</v>
      </c>
      <c r="CG133" s="3">
        <f t="shared" si="19"/>
        <v>1.5</v>
      </c>
      <c r="CH133">
        <v>122944</v>
      </c>
      <c r="CI133">
        <v>98820</v>
      </c>
      <c r="CJ133" t="s">
        <v>79</v>
      </c>
      <c r="CK133" s="3">
        <v>10.232471328164367</v>
      </c>
      <c r="CL133" t="s">
        <v>1200</v>
      </c>
      <c r="CM133" s="33" t="s">
        <v>1669</v>
      </c>
      <c r="CN133" s="3" t="str">
        <f t="shared" si="22"/>
        <v>Och-ATum_028-Ex1-9F-lcwgs-2-2</v>
      </c>
      <c r="CR133"/>
    </row>
    <row r="134" spans="1:96" x14ac:dyDescent="0.55000000000000004">
      <c r="A134" t="s">
        <v>229</v>
      </c>
      <c r="B134" t="s">
        <v>735</v>
      </c>
      <c r="C134" s="3">
        <v>2</v>
      </c>
      <c r="E134" t="s">
        <v>198</v>
      </c>
      <c r="F134">
        <v>5</v>
      </c>
      <c r="G134" t="s">
        <v>83</v>
      </c>
      <c r="H134">
        <v>10.93725522461741</v>
      </c>
      <c r="I134" s="3" t="s">
        <v>74</v>
      </c>
      <c r="J134" s="3">
        <v>0.2</v>
      </c>
      <c r="K134" s="3">
        <v>7.25</v>
      </c>
      <c r="L134" s="3">
        <v>0.25</v>
      </c>
      <c r="O134" s="3">
        <v>200</v>
      </c>
      <c r="P134" s="3">
        <v>18.286123519349079</v>
      </c>
      <c r="R134" s="3">
        <v>10</v>
      </c>
      <c r="S134" s="4">
        <v>45141</v>
      </c>
      <c r="T134" s="3" t="s">
        <v>282</v>
      </c>
      <c r="U134" s="3" t="s">
        <v>412</v>
      </c>
      <c r="V134" s="11" t="s">
        <v>99</v>
      </c>
      <c r="W134" s="11">
        <v>9</v>
      </c>
      <c r="X134" s="11" t="s">
        <v>104</v>
      </c>
      <c r="Y134" s="11">
        <v>9</v>
      </c>
      <c r="Z134">
        <v>5</v>
      </c>
      <c r="AA134" t="s">
        <v>83</v>
      </c>
      <c r="AB134" t="s">
        <v>413</v>
      </c>
      <c r="AC134" s="3" t="s">
        <v>78</v>
      </c>
      <c r="AD134" s="3">
        <v>2</v>
      </c>
      <c r="AE134">
        <v>5</v>
      </c>
      <c r="AF134" t="s">
        <v>83</v>
      </c>
      <c r="AG134" t="s">
        <v>642</v>
      </c>
      <c r="AH134" s="17" t="s">
        <v>643</v>
      </c>
      <c r="AI134" t="s">
        <v>624</v>
      </c>
      <c r="AJ134" s="18" t="s">
        <v>625</v>
      </c>
      <c r="AO134" s="10">
        <v>0.30534499999999998</v>
      </c>
      <c r="AP134" s="3">
        <v>37</v>
      </c>
      <c r="AQ134" s="3">
        <f t="shared" si="23"/>
        <v>11.297764999999998</v>
      </c>
      <c r="BE134" s="3" t="s">
        <v>79</v>
      </c>
      <c r="BF134" s="3" t="s">
        <v>415</v>
      </c>
      <c r="BG134" s="3" t="s">
        <v>186</v>
      </c>
      <c r="BH134" s="3" t="s">
        <v>186</v>
      </c>
      <c r="BI134" s="3" t="s">
        <v>186</v>
      </c>
      <c r="BJ134" s="3" t="s">
        <v>186</v>
      </c>
      <c r="BK134" s="3" t="s">
        <v>186</v>
      </c>
      <c r="BL134" s="3" t="s">
        <v>186</v>
      </c>
      <c r="BM134" s="3" t="s">
        <v>186</v>
      </c>
      <c r="BN134" s="3" t="s">
        <v>186</v>
      </c>
      <c r="BO134" s="3" t="s">
        <v>186</v>
      </c>
      <c r="BP134" s="3" t="s">
        <v>186</v>
      </c>
      <c r="BQ134" s="3" t="s">
        <v>186</v>
      </c>
      <c r="BR134" s="3" t="s">
        <v>186</v>
      </c>
      <c r="BS134" s="3" t="s">
        <v>186</v>
      </c>
      <c r="BT134" s="3" t="s">
        <v>186</v>
      </c>
      <c r="BU134" s="3" t="s">
        <v>186</v>
      </c>
      <c r="BV134" s="3" t="s">
        <v>186</v>
      </c>
      <c r="BW134" s="3" t="s">
        <v>186</v>
      </c>
      <c r="BX134" s="21" t="s">
        <v>417</v>
      </c>
      <c r="BY134" s="3" t="str">
        <f t="shared" si="5"/>
        <v>Och-A_RedoLibraries</v>
      </c>
      <c r="BZ134" s="3" t="str">
        <f t="shared" si="6"/>
        <v>C5</v>
      </c>
      <c r="CA134" s="3" t="str">
        <f t="shared" si="7"/>
        <v>Och-A</v>
      </c>
      <c r="CC134" s="3">
        <v>1.5</v>
      </c>
      <c r="CD134" t="s">
        <v>490</v>
      </c>
      <c r="CE134" s="21" t="str">
        <f t="shared" si="21"/>
        <v>OcA0102905C</v>
      </c>
      <c r="CF134" s="21" t="str">
        <f t="shared" si="9"/>
        <v>Och-ACat_029-Ex1-5C-lcwgs-2-1</v>
      </c>
      <c r="CG134" s="3">
        <f t="shared" si="19"/>
        <v>1.5</v>
      </c>
      <c r="CH134">
        <v>325851</v>
      </c>
      <c r="CI134">
        <v>244424</v>
      </c>
      <c r="CJ134" s="27" t="s">
        <v>79</v>
      </c>
      <c r="CK134" s="3">
        <v>3.1911781295902428</v>
      </c>
      <c r="CL134" t="s">
        <v>1198</v>
      </c>
      <c r="CM134" s="33" t="s">
        <v>1670</v>
      </c>
      <c r="CN134" s="3" t="str">
        <f t="shared" si="22"/>
        <v>Och-ACat_029-Ex1-5C-lcwgs-2-2</v>
      </c>
      <c r="CR134"/>
    </row>
    <row r="135" spans="1:96" x14ac:dyDescent="0.55000000000000004">
      <c r="A135" t="s">
        <v>271</v>
      </c>
      <c r="B135" t="s">
        <v>773</v>
      </c>
      <c r="C135" s="3">
        <v>2</v>
      </c>
      <c r="E135" t="s">
        <v>198</v>
      </c>
      <c r="F135">
        <v>10</v>
      </c>
      <c r="G135" t="s">
        <v>88</v>
      </c>
      <c r="H135">
        <v>12.204097416488398</v>
      </c>
      <c r="I135" s="3" t="s">
        <v>74</v>
      </c>
      <c r="J135" s="3">
        <v>0.2</v>
      </c>
      <c r="K135" s="3">
        <v>7.25</v>
      </c>
      <c r="L135" s="3">
        <v>0.25</v>
      </c>
      <c r="O135" s="3">
        <v>200</v>
      </c>
      <c r="P135" s="3">
        <v>16.387938671301423</v>
      </c>
      <c r="R135" s="3">
        <v>10</v>
      </c>
      <c r="S135" s="4">
        <v>45141</v>
      </c>
      <c r="T135" s="3" t="s">
        <v>282</v>
      </c>
      <c r="U135" s="3" t="s">
        <v>412</v>
      </c>
      <c r="V135" s="11" t="s">
        <v>100</v>
      </c>
      <c r="W135" s="11">
        <v>20</v>
      </c>
      <c r="X135" s="11" t="s">
        <v>107</v>
      </c>
      <c r="Y135" s="11">
        <v>20</v>
      </c>
      <c r="Z135">
        <v>10</v>
      </c>
      <c r="AA135" t="s">
        <v>88</v>
      </c>
      <c r="AB135" t="s">
        <v>413</v>
      </c>
      <c r="AC135" s="3" t="s">
        <v>78</v>
      </c>
      <c r="AD135" s="3">
        <v>2</v>
      </c>
      <c r="AE135">
        <v>10</v>
      </c>
      <c r="AF135" t="s">
        <v>88</v>
      </c>
      <c r="AG135" t="s">
        <v>648</v>
      </c>
      <c r="AH135" s="17" t="s">
        <v>649</v>
      </c>
      <c r="AI135" t="s">
        <v>634</v>
      </c>
      <c r="AJ135" s="18" t="s">
        <v>635</v>
      </c>
      <c r="AO135" s="10">
        <v>0.376108</v>
      </c>
      <c r="AP135" s="3">
        <v>37</v>
      </c>
      <c r="AQ135" s="3">
        <f t="shared" si="23"/>
        <v>13.915996</v>
      </c>
      <c r="BE135" s="3" t="s">
        <v>79</v>
      </c>
      <c r="BF135" s="3" t="s">
        <v>415</v>
      </c>
      <c r="BG135" s="3" t="s">
        <v>186</v>
      </c>
      <c r="BH135" s="3" t="s">
        <v>186</v>
      </c>
      <c r="BI135" s="3" t="s">
        <v>186</v>
      </c>
      <c r="BJ135" s="3" t="s">
        <v>186</v>
      </c>
      <c r="BK135" s="3" t="s">
        <v>186</v>
      </c>
      <c r="BL135" s="3" t="s">
        <v>186</v>
      </c>
      <c r="BM135" s="3" t="s">
        <v>186</v>
      </c>
      <c r="BN135" s="3" t="s">
        <v>186</v>
      </c>
      <c r="BO135" s="3" t="s">
        <v>186</v>
      </c>
      <c r="BP135" s="3" t="s">
        <v>186</v>
      </c>
      <c r="BQ135" s="3" t="s">
        <v>186</v>
      </c>
      <c r="BR135" s="3" t="s">
        <v>186</v>
      </c>
      <c r="BS135" s="3" t="s">
        <v>186</v>
      </c>
      <c r="BT135" s="3" t="s">
        <v>186</v>
      </c>
      <c r="BU135" s="3" t="s">
        <v>186</v>
      </c>
      <c r="BV135" s="3" t="s">
        <v>186</v>
      </c>
      <c r="BW135" s="3" t="s">
        <v>186</v>
      </c>
      <c r="BX135" s="21" t="s">
        <v>417</v>
      </c>
      <c r="BY135" s="3" t="str">
        <f t="shared" si="5"/>
        <v>Och-A_RedoLibraries</v>
      </c>
      <c r="BZ135" s="3" t="str">
        <f t="shared" si="6"/>
        <v>F10</v>
      </c>
      <c r="CA135" s="3" t="str">
        <f t="shared" si="7"/>
        <v>Och-A</v>
      </c>
      <c r="CC135" s="3">
        <v>1.5</v>
      </c>
      <c r="CD135" t="s">
        <v>490</v>
      </c>
      <c r="CE135" s="21" t="str">
        <f t="shared" si="21"/>
        <v>OcA0102910F</v>
      </c>
      <c r="CF135" s="21" t="str">
        <f t="shared" si="9"/>
        <v>Och-ATum_029-Ex1-10F-lcwgs-2-1</v>
      </c>
      <c r="CG135" s="3">
        <f t="shared" si="19"/>
        <v>1.5</v>
      </c>
      <c r="CH135">
        <v>31014</v>
      </c>
      <c r="CI135">
        <v>26460</v>
      </c>
      <c r="CJ135" t="s">
        <v>79</v>
      </c>
      <c r="CK135" s="3">
        <v>38.274264608433555</v>
      </c>
      <c r="CL135" t="s">
        <v>1200</v>
      </c>
      <c r="CM135" s="33" t="s">
        <v>1671</v>
      </c>
      <c r="CN135" s="3" t="str">
        <f t="shared" si="22"/>
        <v>Och-ATum_029-Ex1-10F-lcwgs-2-2</v>
      </c>
      <c r="CR135"/>
    </row>
    <row r="136" spans="1:96" x14ac:dyDescent="0.55000000000000004">
      <c r="A136" t="s">
        <v>230</v>
      </c>
      <c r="B136" t="s">
        <v>736</v>
      </c>
      <c r="C136" s="3">
        <v>2</v>
      </c>
      <c r="E136" t="s">
        <v>198</v>
      </c>
      <c r="F136">
        <v>6</v>
      </c>
      <c r="G136" t="s">
        <v>83</v>
      </c>
      <c r="H136">
        <v>7.5814135264110565</v>
      </c>
      <c r="I136" s="3" t="s">
        <v>74</v>
      </c>
      <c r="J136" s="3">
        <v>0.2</v>
      </c>
      <c r="K136" s="3">
        <v>7.25</v>
      </c>
      <c r="L136" s="3">
        <v>0.25</v>
      </c>
      <c r="O136" s="3">
        <v>200</v>
      </c>
      <c r="P136" s="3">
        <v>26.380304847277923</v>
      </c>
      <c r="R136" s="3">
        <v>10</v>
      </c>
      <c r="S136" s="4">
        <v>45141</v>
      </c>
      <c r="T136" s="3" t="s">
        <v>282</v>
      </c>
      <c r="U136" s="3" t="s">
        <v>412</v>
      </c>
      <c r="V136" s="11" t="s">
        <v>99</v>
      </c>
      <c r="W136" s="11">
        <v>11</v>
      </c>
      <c r="X136" s="11" t="s">
        <v>104</v>
      </c>
      <c r="Y136" s="11">
        <v>11</v>
      </c>
      <c r="Z136">
        <v>6</v>
      </c>
      <c r="AA136" t="s">
        <v>83</v>
      </c>
      <c r="AB136" t="s">
        <v>413</v>
      </c>
      <c r="AC136" s="3" t="s">
        <v>78</v>
      </c>
      <c r="AD136" s="3">
        <v>2</v>
      </c>
      <c r="AE136">
        <v>6</v>
      </c>
      <c r="AF136" t="s">
        <v>83</v>
      </c>
      <c r="AG136" t="s">
        <v>642</v>
      </c>
      <c r="AH136" s="17" t="s">
        <v>643</v>
      </c>
      <c r="AI136" t="s">
        <v>626</v>
      </c>
      <c r="AJ136" s="18" t="s">
        <v>627</v>
      </c>
      <c r="AO136" s="10">
        <v>0.76017199999999996</v>
      </c>
      <c r="AP136" s="3">
        <v>37</v>
      </c>
      <c r="AQ136" s="3">
        <f t="shared" si="23"/>
        <v>28.126363999999999</v>
      </c>
      <c r="BE136" s="3" t="s">
        <v>79</v>
      </c>
      <c r="BF136" s="3" t="s">
        <v>415</v>
      </c>
      <c r="BG136" s="3" t="s">
        <v>416</v>
      </c>
      <c r="BH136" s="3">
        <v>1</v>
      </c>
      <c r="BI136" s="3" t="str">
        <f>AA136&amp;Z136</f>
        <v>C6</v>
      </c>
      <c r="BJ136" s="3">
        <v>1</v>
      </c>
      <c r="BK136" s="3" t="str">
        <f>BR136&amp;BQ136</f>
        <v>E3</v>
      </c>
      <c r="BL136" s="10">
        <v>1.5</v>
      </c>
      <c r="BM136" s="3">
        <v>0.4</v>
      </c>
      <c r="BN136" s="3">
        <f>AO136*BL136/BM136</f>
        <v>2.8506449999999997</v>
      </c>
      <c r="BO136" s="3">
        <f>BN136-BL136</f>
        <v>1.3506449999999997</v>
      </c>
      <c r="BP136" s="3" t="s">
        <v>420</v>
      </c>
      <c r="BQ136">
        <v>3</v>
      </c>
      <c r="BR136" t="s">
        <v>87</v>
      </c>
      <c r="BS136" s="3">
        <v>1</v>
      </c>
      <c r="BT136" s="3" t="s">
        <v>418</v>
      </c>
      <c r="BU136" s="3">
        <v>1</v>
      </c>
      <c r="BV136" s="3" t="str">
        <f>BR136&amp;BQ136</f>
        <v>E3</v>
      </c>
      <c r="BW136" s="3">
        <f>BO136</f>
        <v>1.3506449999999997</v>
      </c>
      <c r="BX136" s="21" t="s">
        <v>417</v>
      </c>
      <c r="BY136" s="3" t="str">
        <f t="shared" si="5"/>
        <v>Och-Mixed_Dilution Plate</v>
      </c>
      <c r="BZ136" s="3" t="str">
        <f t="shared" si="6"/>
        <v>E3</v>
      </c>
      <c r="CA136" s="3" t="str">
        <f t="shared" si="7"/>
        <v>Och-A</v>
      </c>
      <c r="CC136" s="3">
        <v>1.5</v>
      </c>
      <c r="CD136" t="s">
        <v>497</v>
      </c>
      <c r="CE136" s="21" t="str">
        <f t="shared" si="21"/>
        <v>OcA0103006C</v>
      </c>
      <c r="CF136" s="21" t="str">
        <f t="shared" si="9"/>
        <v>Och-ACat_030-Ex1-6C-lcwgs-2-1</v>
      </c>
      <c r="CG136" s="3">
        <f t="shared" si="19"/>
        <v>0.78929505427719004</v>
      </c>
      <c r="CH136">
        <v>2417358</v>
      </c>
      <c r="CI136">
        <v>1869663</v>
      </c>
      <c r="CJ136" s="27" t="s">
        <v>79</v>
      </c>
      <c r="CK136" s="3">
        <v>0.21274244194641775</v>
      </c>
      <c r="CL136" t="s">
        <v>1198</v>
      </c>
      <c r="CM136" s="33" t="s">
        <v>1672</v>
      </c>
      <c r="CN136" s="3" t="str">
        <f t="shared" si="22"/>
        <v>Och-ACat_030-Ex1-6C-lcwgs-2-2</v>
      </c>
      <c r="CR136"/>
    </row>
    <row r="137" spans="1:96" x14ac:dyDescent="0.55000000000000004">
      <c r="A137" t="s">
        <v>272</v>
      </c>
      <c r="B137" t="s">
        <v>774</v>
      </c>
      <c r="C137" s="3">
        <v>2</v>
      </c>
      <c r="E137" t="s">
        <v>198</v>
      </c>
      <c r="F137">
        <v>11</v>
      </c>
      <c r="G137" t="s">
        <v>88</v>
      </c>
      <c r="H137">
        <v>16.361827381931874</v>
      </c>
      <c r="I137" s="3" t="s">
        <v>74</v>
      </c>
      <c r="J137" s="3">
        <v>0.2</v>
      </c>
      <c r="K137" s="3">
        <v>7.25</v>
      </c>
      <c r="L137" s="3">
        <v>0.25</v>
      </c>
      <c r="O137" s="3">
        <v>200</v>
      </c>
      <c r="P137" s="3">
        <v>12.223573524608691</v>
      </c>
      <c r="R137" s="3">
        <v>10</v>
      </c>
      <c r="S137" s="4">
        <v>45141</v>
      </c>
      <c r="T137" s="3" t="s">
        <v>282</v>
      </c>
      <c r="U137" s="3" t="s">
        <v>412</v>
      </c>
      <c r="V137" s="11" t="s">
        <v>100</v>
      </c>
      <c r="W137" s="11">
        <v>22</v>
      </c>
      <c r="X137" s="11" t="s">
        <v>107</v>
      </c>
      <c r="Y137" s="11">
        <v>22</v>
      </c>
      <c r="Z137">
        <v>11</v>
      </c>
      <c r="AA137" t="s">
        <v>88</v>
      </c>
      <c r="AB137" t="s">
        <v>413</v>
      </c>
      <c r="AC137" s="3" t="s">
        <v>78</v>
      </c>
      <c r="AD137" s="3">
        <v>2</v>
      </c>
      <c r="AE137">
        <v>11</v>
      </c>
      <c r="AF137" t="s">
        <v>88</v>
      </c>
      <c r="AG137" t="s">
        <v>648</v>
      </c>
      <c r="AH137" s="17" t="s">
        <v>649</v>
      </c>
      <c r="AI137" t="s">
        <v>636</v>
      </c>
      <c r="AJ137" s="18" t="s">
        <v>637</v>
      </c>
      <c r="AO137" s="10">
        <v>0.44665100000000002</v>
      </c>
      <c r="AP137" s="3">
        <v>37</v>
      </c>
      <c r="AQ137" s="3">
        <f t="shared" si="23"/>
        <v>16.526087</v>
      </c>
      <c r="BE137" s="3" t="s">
        <v>79</v>
      </c>
      <c r="BF137" s="3" t="s">
        <v>415</v>
      </c>
      <c r="BG137" s="3" t="s">
        <v>186</v>
      </c>
      <c r="BH137" s="3" t="s">
        <v>186</v>
      </c>
      <c r="BI137" s="3" t="s">
        <v>186</v>
      </c>
      <c r="BJ137" s="3" t="s">
        <v>186</v>
      </c>
      <c r="BK137" s="3" t="s">
        <v>186</v>
      </c>
      <c r="BL137" s="3" t="s">
        <v>186</v>
      </c>
      <c r="BM137" s="3" t="s">
        <v>186</v>
      </c>
      <c r="BN137" s="3" t="s">
        <v>186</v>
      </c>
      <c r="BO137" s="3" t="s">
        <v>186</v>
      </c>
      <c r="BP137" s="3" t="s">
        <v>186</v>
      </c>
      <c r="BQ137" s="3" t="s">
        <v>186</v>
      </c>
      <c r="BR137" s="3" t="s">
        <v>186</v>
      </c>
      <c r="BS137" s="3" t="s">
        <v>186</v>
      </c>
      <c r="BT137" s="3" t="s">
        <v>186</v>
      </c>
      <c r="BU137" s="3" t="s">
        <v>186</v>
      </c>
      <c r="BV137" s="3" t="s">
        <v>186</v>
      </c>
      <c r="BW137" s="3" t="s">
        <v>186</v>
      </c>
      <c r="BX137" s="21" t="s">
        <v>417</v>
      </c>
      <c r="BY137" s="3" t="str">
        <f t="shared" si="5"/>
        <v>Och-A_RedoLibraries</v>
      </c>
      <c r="BZ137" s="3" t="str">
        <f t="shared" si="6"/>
        <v>F11</v>
      </c>
      <c r="CA137" s="3" t="str">
        <f t="shared" si="7"/>
        <v>Och-A</v>
      </c>
      <c r="CC137" s="3">
        <v>1.5</v>
      </c>
      <c r="CD137" t="s">
        <v>497</v>
      </c>
      <c r="CE137" s="21" t="str">
        <f t="shared" si="21"/>
        <v>OcA0103011F</v>
      </c>
      <c r="CF137" s="21" t="str">
        <f t="shared" si="9"/>
        <v>Och-ATum_030-Ex1-11F-lcwgs-2-1</v>
      </c>
      <c r="CG137" s="3">
        <f t="shared" si="19"/>
        <v>1.5</v>
      </c>
      <c r="CH137">
        <v>33154</v>
      </c>
      <c r="CI137">
        <v>27328</v>
      </c>
      <c r="CJ137" t="s">
        <v>79</v>
      </c>
      <c r="CK137" s="3">
        <v>37.05789950812337</v>
      </c>
      <c r="CL137" t="s">
        <v>1200</v>
      </c>
      <c r="CM137" s="33" t="s">
        <v>1673</v>
      </c>
      <c r="CN137" s="3" t="str">
        <f t="shared" si="22"/>
        <v>Och-ATum_030-Ex1-11F-lcwgs-2-2</v>
      </c>
      <c r="CR137"/>
    </row>
    <row r="138" spans="1:96" x14ac:dyDescent="0.55000000000000004">
      <c r="A138" t="s">
        <v>231</v>
      </c>
      <c r="B138" t="s">
        <v>737</v>
      </c>
      <c r="C138" s="3">
        <v>2</v>
      </c>
      <c r="E138" t="s">
        <v>198</v>
      </c>
      <c r="F138">
        <v>7</v>
      </c>
      <c r="G138" t="s">
        <v>83</v>
      </c>
      <c r="H138">
        <v>6.1377941418463049</v>
      </c>
      <c r="I138" s="3" t="s">
        <v>74</v>
      </c>
      <c r="J138" s="3">
        <v>0.2</v>
      </c>
      <c r="K138" s="3">
        <v>7.25</v>
      </c>
      <c r="L138" s="3">
        <v>0.25</v>
      </c>
      <c r="O138" s="3">
        <v>200</v>
      </c>
      <c r="P138" s="3">
        <v>32.584996397392722</v>
      </c>
      <c r="R138" s="3">
        <v>10</v>
      </c>
      <c r="S138" s="4">
        <v>45141</v>
      </c>
      <c r="T138" s="3" t="s">
        <v>282</v>
      </c>
      <c r="U138" s="3" t="s">
        <v>412</v>
      </c>
      <c r="V138" s="11" t="s">
        <v>99</v>
      </c>
      <c r="W138" s="11">
        <v>13</v>
      </c>
      <c r="X138" s="11" t="s">
        <v>104</v>
      </c>
      <c r="Y138" s="11">
        <v>13</v>
      </c>
      <c r="Z138">
        <v>7</v>
      </c>
      <c r="AA138" t="s">
        <v>83</v>
      </c>
      <c r="AB138" t="s">
        <v>413</v>
      </c>
      <c r="AC138" s="3" t="s">
        <v>78</v>
      </c>
      <c r="AD138" s="3">
        <v>2</v>
      </c>
      <c r="AE138">
        <v>7</v>
      </c>
      <c r="AF138" t="s">
        <v>83</v>
      </c>
      <c r="AG138" t="s">
        <v>642</v>
      </c>
      <c r="AH138" s="17" t="s">
        <v>643</v>
      </c>
      <c r="AI138" t="s">
        <v>628</v>
      </c>
      <c r="AJ138" s="18" t="s">
        <v>629</v>
      </c>
      <c r="AO138" s="10">
        <v>1.167289</v>
      </c>
      <c r="AP138" s="3">
        <v>37</v>
      </c>
      <c r="AQ138" s="3">
        <f t="shared" si="23"/>
        <v>43.189692999999998</v>
      </c>
      <c r="BE138" s="3" t="s">
        <v>79</v>
      </c>
      <c r="BF138" s="3" t="s">
        <v>415</v>
      </c>
      <c r="BG138" s="3" t="s">
        <v>416</v>
      </c>
      <c r="BH138" s="3">
        <v>1</v>
      </c>
      <c r="BI138" s="3" t="str">
        <f>AA138&amp;Z138</f>
        <v>C7</v>
      </c>
      <c r="BJ138" s="3">
        <v>1</v>
      </c>
      <c r="BK138" s="3" t="str">
        <f>BR138&amp;BQ138</f>
        <v>A5</v>
      </c>
      <c r="BL138" s="10">
        <v>1.5</v>
      </c>
      <c r="BM138" s="3">
        <v>0.4</v>
      </c>
      <c r="BN138" s="3">
        <f>AO138*BL138/BM138</f>
        <v>4.3773337499999991</v>
      </c>
      <c r="BO138" s="3">
        <f>BN138-BL138</f>
        <v>2.8773337499999991</v>
      </c>
      <c r="BP138" s="3" t="s">
        <v>420</v>
      </c>
      <c r="BQ138">
        <v>5</v>
      </c>
      <c r="BR138" t="s">
        <v>73</v>
      </c>
      <c r="BS138" s="3">
        <v>1</v>
      </c>
      <c r="BT138" s="3" t="s">
        <v>418</v>
      </c>
      <c r="BU138" s="3">
        <v>1</v>
      </c>
      <c r="BV138" s="3" t="str">
        <f>BR138&amp;BQ138</f>
        <v>A5</v>
      </c>
      <c r="BW138" s="3">
        <f>BO138</f>
        <v>2.8773337499999991</v>
      </c>
      <c r="BX138" s="21" t="s">
        <v>417</v>
      </c>
      <c r="BY138" s="3" t="str">
        <f t="shared" ref="BY138:BY201" si="24">IF(ISNUMBER(BM138),BP138,AB138)</f>
        <v>Och-Mixed_Dilution Plate</v>
      </c>
      <c r="BZ138" s="3" t="str">
        <f t="shared" ref="BZ138:BZ201" si="25">IF(ISNUMBER(BM138),BR138&amp;BQ138,AA138&amp;AE138)</f>
        <v>A5</v>
      </c>
      <c r="CA138" s="3" t="str">
        <f t="shared" ref="CA138:CA201" si="26">BF138</f>
        <v>Och-A</v>
      </c>
      <c r="CC138" s="3">
        <v>1.5</v>
      </c>
      <c r="CD138" t="s">
        <v>500</v>
      </c>
      <c r="CE138" s="21" t="str">
        <f t="shared" si="21"/>
        <v>OcA0103107C</v>
      </c>
      <c r="CF138" s="21" t="str">
        <f t="shared" ref="CF138:CF201" si="27">B138&amp;"-"&amp;Z138&amp;AA138&amp;"-lcwgs-"&amp;C138&amp;"-1"</f>
        <v>Och-ACat_031-Ex1-7C-lcwgs-2-1</v>
      </c>
      <c r="CG138" s="3">
        <f t="shared" ref="CG138:CG169" si="28">IF(ISNUMBER(BL138),(CC138/BN138)*BL138,CC138)</f>
        <v>0.51401152585178145</v>
      </c>
      <c r="CH138">
        <v>3494263</v>
      </c>
      <c r="CI138">
        <v>2771824</v>
      </c>
      <c r="CJ138" s="27" t="s">
        <v>79</v>
      </c>
      <c r="CK138" s="3">
        <v>9.1797987508695458E-2</v>
      </c>
      <c r="CL138" t="s">
        <v>1198</v>
      </c>
      <c r="CM138" s="33" t="s">
        <v>1674</v>
      </c>
      <c r="CN138" s="3" t="str">
        <f t="shared" si="22"/>
        <v>Och-ACat_031-Ex1-7C-lcwgs-2-2</v>
      </c>
      <c r="CR138"/>
    </row>
    <row r="139" spans="1:96" x14ac:dyDescent="0.55000000000000004">
      <c r="A139" t="s">
        <v>273</v>
      </c>
      <c r="B139" t="s">
        <v>775</v>
      </c>
      <c r="C139" s="3">
        <v>2</v>
      </c>
      <c r="E139" t="s">
        <v>198</v>
      </c>
      <c r="F139">
        <v>12</v>
      </c>
      <c r="G139" t="s">
        <v>88</v>
      </c>
      <c r="H139">
        <v>24.361876748395588</v>
      </c>
      <c r="I139" s="3" t="s">
        <v>74</v>
      </c>
      <c r="J139" s="3">
        <v>0.2</v>
      </c>
      <c r="K139" s="3">
        <v>7.25</v>
      </c>
      <c r="L139" s="3">
        <v>0.25</v>
      </c>
      <c r="O139" s="3">
        <v>200</v>
      </c>
      <c r="P139" s="3">
        <v>8.2095481421878347</v>
      </c>
      <c r="R139" s="3">
        <v>10</v>
      </c>
      <c r="S139" s="4">
        <v>45141</v>
      </c>
      <c r="T139" s="3" t="s">
        <v>282</v>
      </c>
      <c r="U139" s="3" t="s">
        <v>412</v>
      </c>
      <c r="V139" s="11" t="s">
        <v>100</v>
      </c>
      <c r="W139" s="11">
        <v>24</v>
      </c>
      <c r="X139" s="11" t="s">
        <v>107</v>
      </c>
      <c r="Y139" s="11">
        <v>24</v>
      </c>
      <c r="Z139">
        <v>12</v>
      </c>
      <c r="AA139" t="s">
        <v>88</v>
      </c>
      <c r="AB139" t="s">
        <v>413</v>
      </c>
      <c r="AC139" s="3" t="s">
        <v>78</v>
      </c>
      <c r="AD139" s="3">
        <v>2</v>
      </c>
      <c r="AE139">
        <v>12</v>
      </c>
      <c r="AF139" t="s">
        <v>88</v>
      </c>
      <c r="AG139" t="s">
        <v>648</v>
      </c>
      <c r="AH139" s="17" t="s">
        <v>649</v>
      </c>
      <c r="AI139" t="s">
        <v>638</v>
      </c>
      <c r="AJ139" s="18" t="s">
        <v>639</v>
      </c>
      <c r="AO139" s="10">
        <v>0.97332399999999997</v>
      </c>
      <c r="AP139" s="3">
        <v>37</v>
      </c>
      <c r="AQ139" s="3">
        <f t="shared" si="23"/>
        <v>36.012988</v>
      </c>
      <c r="BE139" s="3" t="s">
        <v>79</v>
      </c>
      <c r="BF139" s="3" t="s">
        <v>415</v>
      </c>
      <c r="BG139" s="3" t="s">
        <v>416</v>
      </c>
      <c r="BH139" s="3">
        <v>1</v>
      </c>
      <c r="BI139" s="3" t="str">
        <f>AA139&amp;Z139</f>
        <v>F12</v>
      </c>
      <c r="BJ139" s="3">
        <v>1</v>
      </c>
      <c r="BK139" s="3" t="str">
        <f>BR139&amp;BQ139</f>
        <v>C4</v>
      </c>
      <c r="BL139" s="10">
        <v>1.5</v>
      </c>
      <c r="BM139" s="3">
        <v>0.4</v>
      </c>
      <c r="BN139" s="3">
        <f>AO139*BL139/BM139</f>
        <v>3.6499649999999999</v>
      </c>
      <c r="BO139" s="3">
        <f>BN139-BL139</f>
        <v>2.1499649999999999</v>
      </c>
      <c r="BP139" s="3" t="s">
        <v>420</v>
      </c>
      <c r="BQ139">
        <v>4</v>
      </c>
      <c r="BR139" t="s">
        <v>83</v>
      </c>
      <c r="BS139" s="3">
        <v>1</v>
      </c>
      <c r="BT139" s="3" t="s">
        <v>418</v>
      </c>
      <c r="BU139" s="3">
        <v>1</v>
      </c>
      <c r="BV139" s="3" t="str">
        <f>BR139&amp;BQ139</f>
        <v>C4</v>
      </c>
      <c r="BW139" s="3">
        <f>BO139</f>
        <v>2.1499649999999999</v>
      </c>
      <c r="BX139" s="21" t="s">
        <v>417</v>
      </c>
      <c r="BY139" s="3" t="str">
        <f t="shared" si="24"/>
        <v>Och-Mixed_Dilution Plate</v>
      </c>
      <c r="BZ139" s="3" t="str">
        <f t="shared" si="25"/>
        <v>C4</v>
      </c>
      <c r="CA139" s="3" t="str">
        <f t="shared" si="26"/>
        <v>Och-A</v>
      </c>
      <c r="CC139" s="3">
        <v>1.5</v>
      </c>
      <c r="CD139" t="s">
        <v>500</v>
      </c>
      <c r="CE139" s="21" t="str">
        <f t="shared" si="21"/>
        <v>OcA0103112F</v>
      </c>
      <c r="CF139" s="21" t="str">
        <f t="shared" si="27"/>
        <v>Och-ATum_031-Ex1-12F-lcwgs-2-1</v>
      </c>
      <c r="CG139" s="3">
        <f t="shared" si="28"/>
        <v>0.61644426727379575</v>
      </c>
      <c r="CH139">
        <v>1733624</v>
      </c>
      <c r="CI139">
        <v>1346503</v>
      </c>
      <c r="CJ139" t="s">
        <v>79</v>
      </c>
      <c r="CK139" s="3">
        <v>0.30038564957821734</v>
      </c>
      <c r="CL139" t="s">
        <v>1200</v>
      </c>
      <c r="CM139" s="33" t="s">
        <v>1675</v>
      </c>
      <c r="CN139" s="3" t="str">
        <f t="shared" si="22"/>
        <v>Och-ATum_031-Ex1-12F-lcwgs-2-2</v>
      </c>
      <c r="CR139"/>
    </row>
    <row r="140" spans="1:96" x14ac:dyDescent="0.55000000000000004">
      <c r="A140" t="s">
        <v>274</v>
      </c>
      <c r="B140" t="s">
        <v>776</v>
      </c>
      <c r="C140" s="3">
        <v>2</v>
      </c>
      <c r="E140" t="s">
        <v>198</v>
      </c>
      <c r="F140">
        <v>1</v>
      </c>
      <c r="G140" t="s">
        <v>91</v>
      </c>
      <c r="H140">
        <v>7.0557223959190392</v>
      </c>
      <c r="I140" s="3" t="s">
        <v>74</v>
      </c>
      <c r="J140" s="3">
        <v>0.2</v>
      </c>
      <c r="K140" s="3">
        <v>7.25</v>
      </c>
      <c r="L140" s="3">
        <v>0.25</v>
      </c>
      <c r="O140" s="3">
        <v>200</v>
      </c>
      <c r="P140" s="3">
        <v>28.345786409578423</v>
      </c>
      <c r="R140" s="3">
        <v>10</v>
      </c>
      <c r="S140" s="4">
        <v>45141</v>
      </c>
      <c r="T140" s="3" t="s">
        <v>282</v>
      </c>
      <c r="U140" s="3" t="s">
        <v>412</v>
      </c>
      <c r="V140" s="11" t="s">
        <v>108</v>
      </c>
      <c r="W140" s="11">
        <v>1</v>
      </c>
      <c r="X140" s="11" t="s">
        <v>108</v>
      </c>
      <c r="Y140" s="11">
        <v>2</v>
      </c>
      <c r="Z140">
        <v>1</v>
      </c>
      <c r="AA140" t="s">
        <v>91</v>
      </c>
      <c r="AB140" t="s">
        <v>413</v>
      </c>
      <c r="AC140" s="3" t="s">
        <v>78</v>
      </c>
      <c r="AD140" s="3">
        <v>2</v>
      </c>
      <c r="AE140">
        <v>1</v>
      </c>
      <c r="AF140" t="s">
        <v>91</v>
      </c>
      <c r="AG140" t="s">
        <v>650</v>
      </c>
      <c r="AH140" s="17" t="s">
        <v>651</v>
      </c>
      <c r="AI140" t="s">
        <v>616</v>
      </c>
      <c r="AJ140" s="18" t="s">
        <v>617</v>
      </c>
      <c r="AO140" s="10">
        <v>0.29220800000000002</v>
      </c>
      <c r="AP140" s="3">
        <v>37</v>
      </c>
      <c r="AQ140" s="3">
        <f t="shared" si="23"/>
        <v>10.811696000000001</v>
      </c>
      <c r="BE140" s="3" t="s">
        <v>79</v>
      </c>
      <c r="BF140" s="3" t="s">
        <v>415</v>
      </c>
      <c r="BG140" s="3" t="s">
        <v>186</v>
      </c>
      <c r="BH140" s="3" t="s">
        <v>186</v>
      </c>
      <c r="BI140" s="3" t="s">
        <v>186</v>
      </c>
      <c r="BJ140" s="3" t="s">
        <v>186</v>
      </c>
      <c r="BK140" s="3" t="s">
        <v>186</v>
      </c>
      <c r="BL140" s="3" t="s">
        <v>186</v>
      </c>
      <c r="BM140" s="3" t="s">
        <v>186</v>
      </c>
      <c r="BN140" s="3" t="s">
        <v>186</v>
      </c>
      <c r="BO140" s="3" t="s">
        <v>186</v>
      </c>
      <c r="BP140" s="3" t="s">
        <v>186</v>
      </c>
      <c r="BQ140" s="3" t="s">
        <v>186</v>
      </c>
      <c r="BR140" s="3" t="s">
        <v>186</v>
      </c>
      <c r="BS140" s="3" t="s">
        <v>186</v>
      </c>
      <c r="BT140" s="3" t="s">
        <v>186</v>
      </c>
      <c r="BU140" s="3" t="s">
        <v>186</v>
      </c>
      <c r="BV140" s="3" t="s">
        <v>186</v>
      </c>
      <c r="BW140" s="3" t="s">
        <v>186</v>
      </c>
      <c r="BX140" s="21" t="s">
        <v>417</v>
      </c>
      <c r="BY140" s="3" t="str">
        <f t="shared" si="24"/>
        <v>Och-A_RedoLibraries</v>
      </c>
      <c r="BZ140" s="3" t="str">
        <f t="shared" si="25"/>
        <v>G1</v>
      </c>
      <c r="CA140" s="3" t="str">
        <f t="shared" si="26"/>
        <v>Och-A</v>
      </c>
      <c r="CC140" s="3">
        <v>1.5</v>
      </c>
      <c r="CD140" t="s">
        <v>466</v>
      </c>
      <c r="CE140" s="21" t="str">
        <f t="shared" si="21"/>
        <v>OcA0103201G</v>
      </c>
      <c r="CF140" s="21" t="str">
        <f t="shared" si="27"/>
        <v>Och-ATum_032-Ex1-1G-lcwgs-2-1</v>
      </c>
      <c r="CG140" s="3">
        <f t="shared" si="28"/>
        <v>1.5</v>
      </c>
      <c r="CH140">
        <v>87026</v>
      </c>
      <c r="CI140">
        <v>71138</v>
      </c>
      <c r="CJ140" t="s">
        <v>79</v>
      </c>
      <c r="CK140" s="3">
        <v>14.222654918943796</v>
      </c>
      <c r="CL140" t="s">
        <v>1200</v>
      </c>
      <c r="CM140" s="33" t="s">
        <v>1677</v>
      </c>
      <c r="CN140" s="3" t="str">
        <f t="shared" si="22"/>
        <v>Och-ATum_032-Ex1-1G-lcwgs-2-2</v>
      </c>
      <c r="CR140"/>
    </row>
    <row r="141" spans="1:96" x14ac:dyDescent="0.55000000000000004">
      <c r="A141" t="s">
        <v>232</v>
      </c>
      <c r="B141" t="s">
        <v>783</v>
      </c>
      <c r="C141" s="3">
        <v>1</v>
      </c>
      <c r="E141" t="s">
        <v>198</v>
      </c>
      <c r="F141">
        <v>8</v>
      </c>
      <c r="G141" t="s">
        <v>83</v>
      </c>
      <c r="H141" s="3">
        <v>7.9268430146453843</v>
      </c>
      <c r="I141" s="3" t="s">
        <v>74</v>
      </c>
      <c r="J141" s="3">
        <v>0.2</v>
      </c>
      <c r="K141" s="3">
        <v>7.25</v>
      </c>
      <c r="L141" s="3">
        <v>0.25</v>
      </c>
      <c r="O141" s="3">
        <v>100</v>
      </c>
      <c r="P141" s="3">
        <v>12.615362738386917</v>
      </c>
      <c r="R141" s="3">
        <v>10</v>
      </c>
      <c r="S141" s="4">
        <v>44945</v>
      </c>
      <c r="T141" s="3" t="s">
        <v>199</v>
      </c>
      <c r="U141" s="3" t="s">
        <v>200</v>
      </c>
      <c r="V141">
        <v>13</v>
      </c>
      <c r="W141" t="s">
        <v>76</v>
      </c>
      <c r="X141">
        <v>14</v>
      </c>
      <c r="Y141" t="s">
        <v>76</v>
      </c>
      <c r="Z141">
        <v>7</v>
      </c>
      <c r="AA141" t="s">
        <v>76</v>
      </c>
      <c r="AB141" t="s">
        <v>201</v>
      </c>
      <c r="AC141" s="3" t="s">
        <v>78</v>
      </c>
      <c r="AD141" s="3">
        <v>5</v>
      </c>
      <c r="AE141">
        <v>7</v>
      </c>
      <c r="AF141" t="s">
        <v>76</v>
      </c>
      <c r="AG141" t="s">
        <v>700</v>
      </c>
      <c r="AH141" s="17" t="s">
        <v>701</v>
      </c>
      <c r="AI141" t="s">
        <v>672</v>
      </c>
      <c r="AJ141" s="18" t="s">
        <v>673</v>
      </c>
      <c r="AO141" s="3">
        <v>0.28343173700707047</v>
      </c>
      <c r="AP141" s="3">
        <v>37</v>
      </c>
      <c r="AQ141" s="3">
        <f t="shared" si="23"/>
        <v>10.486974269261607</v>
      </c>
      <c r="BE141" s="3" t="s">
        <v>79</v>
      </c>
      <c r="BF141" s="3" t="s">
        <v>415</v>
      </c>
      <c r="BG141" s="3" t="s">
        <v>186</v>
      </c>
      <c r="BH141" s="3" t="s">
        <v>186</v>
      </c>
      <c r="BI141" s="3" t="s">
        <v>186</v>
      </c>
      <c r="BJ141" s="3" t="s">
        <v>186</v>
      </c>
      <c r="BK141" s="3" t="s">
        <v>186</v>
      </c>
      <c r="BL141" s="3" t="s">
        <v>186</v>
      </c>
      <c r="BM141" s="3" t="s">
        <v>186</v>
      </c>
      <c r="BN141" s="3" t="s">
        <v>186</v>
      </c>
      <c r="BO141" s="3" t="s">
        <v>186</v>
      </c>
      <c r="BP141" s="3" t="s">
        <v>186</v>
      </c>
      <c r="BQ141" s="3" t="s">
        <v>186</v>
      </c>
      <c r="BR141" s="3" t="s">
        <v>186</v>
      </c>
      <c r="BS141" s="3" t="s">
        <v>186</v>
      </c>
      <c r="BT141" s="3" t="s">
        <v>186</v>
      </c>
      <c r="BU141" s="3" t="s">
        <v>186</v>
      </c>
      <c r="BV141" s="3" t="s">
        <v>186</v>
      </c>
      <c r="BW141" s="3" t="s">
        <v>186</v>
      </c>
      <c r="BX141" s="21" t="s">
        <v>417</v>
      </c>
      <c r="BY141" s="3" t="str">
        <f t="shared" si="24"/>
        <v>PIRE-A_LibrariesforCapture_Jan2023-2</v>
      </c>
      <c r="BZ141" s="3" t="str">
        <f t="shared" si="25"/>
        <v>B7</v>
      </c>
      <c r="CA141" s="3" t="str">
        <f t="shared" si="26"/>
        <v>Och-A</v>
      </c>
      <c r="CC141" s="3">
        <v>1.5</v>
      </c>
      <c r="CD141" t="s">
        <v>466</v>
      </c>
      <c r="CE141" s="21" t="str">
        <f t="shared" si="21"/>
        <v>OcA0103207B</v>
      </c>
      <c r="CF141" s="21" t="str">
        <f t="shared" si="27"/>
        <v>Och-ACat_032-Ex1-7B-lcwgs-1-1</v>
      </c>
      <c r="CG141" s="3">
        <f t="shared" si="28"/>
        <v>1.5</v>
      </c>
      <c r="CH141">
        <v>12644</v>
      </c>
      <c r="CI141">
        <v>9536</v>
      </c>
      <c r="CJ141" s="27" t="s">
        <v>185</v>
      </c>
      <c r="CK141" s="3">
        <v>0</v>
      </c>
      <c r="CL141"/>
      <c r="CM141" s="33"/>
    </row>
    <row r="142" spans="1:96" x14ac:dyDescent="0.55000000000000004">
      <c r="A142" t="s">
        <v>232</v>
      </c>
      <c r="B142" t="s">
        <v>783</v>
      </c>
      <c r="C142" s="3">
        <v>2</v>
      </c>
      <c r="E142" t="s">
        <v>198</v>
      </c>
      <c r="F142">
        <v>8</v>
      </c>
      <c r="G142" t="s">
        <v>83</v>
      </c>
      <c r="H142">
        <v>7.9268430146453843</v>
      </c>
      <c r="I142" s="3" t="s">
        <v>74</v>
      </c>
      <c r="J142" s="3">
        <v>0.2</v>
      </c>
      <c r="K142" s="3">
        <v>7.25</v>
      </c>
      <c r="L142" s="3">
        <v>0.25</v>
      </c>
      <c r="O142" s="3">
        <v>200</v>
      </c>
      <c r="P142" s="3">
        <v>25.230725476773834</v>
      </c>
      <c r="R142" s="3">
        <v>10</v>
      </c>
      <c r="S142" s="4">
        <v>45141</v>
      </c>
      <c r="T142" s="3" t="s">
        <v>282</v>
      </c>
      <c r="U142" s="3" t="s">
        <v>412</v>
      </c>
      <c r="V142" s="11" t="s">
        <v>99</v>
      </c>
      <c r="W142" s="11">
        <v>15</v>
      </c>
      <c r="X142" s="11" t="s">
        <v>104</v>
      </c>
      <c r="Y142" s="11">
        <v>15</v>
      </c>
      <c r="Z142">
        <v>8</v>
      </c>
      <c r="AA142" t="s">
        <v>83</v>
      </c>
      <c r="AB142" t="s">
        <v>413</v>
      </c>
      <c r="AC142" s="3" t="s">
        <v>78</v>
      </c>
      <c r="AD142" s="3">
        <v>2</v>
      </c>
      <c r="AE142">
        <v>8</v>
      </c>
      <c r="AF142" t="s">
        <v>83</v>
      </c>
      <c r="AG142" t="s">
        <v>642</v>
      </c>
      <c r="AH142" s="17" t="s">
        <v>643</v>
      </c>
      <c r="AI142" t="s">
        <v>630</v>
      </c>
      <c r="AJ142" s="18" t="s">
        <v>631</v>
      </c>
      <c r="AO142" s="10">
        <v>0.63341899999999995</v>
      </c>
      <c r="AP142" s="3">
        <v>37</v>
      </c>
      <c r="AQ142" s="3">
        <f t="shared" si="23"/>
        <v>23.436502999999998</v>
      </c>
      <c r="BE142" s="3" t="s">
        <v>79</v>
      </c>
      <c r="BF142" s="3" t="s">
        <v>415</v>
      </c>
      <c r="BG142" s="3" t="s">
        <v>416</v>
      </c>
      <c r="BH142" s="3">
        <v>1</v>
      </c>
      <c r="BI142" s="3" t="str">
        <f>AA142&amp;Z142</f>
        <v>C8</v>
      </c>
      <c r="BJ142" s="3">
        <v>1</v>
      </c>
      <c r="BK142" s="3" t="str">
        <f>BR142&amp;BQ142</f>
        <v>G2</v>
      </c>
      <c r="BL142" s="10">
        <v>1.5</v>
      </c>
      <c r="BM142" s="3">
        <v>0.4</v>
      </c>
      <c r="BN142" s="3">
        <f>AO142*BL142/BM142</f>
        <v>2.3753212499999998</v>
      </c>
      <c r="BO142" s="3">
        <f>BN142-BL142</f>
        <v>0.87532124999999983</v>
      </c>
      <c r="BP142" s="3" t="s">
        <v>420</v>
      </c>
      <c r="BQ142">
        <v>2</v>
      </c>
      <c r="BR142" t="s">
        <v>91</v>
      </c>
      <c r="BS142" s="3">
        <v>1</v>
      </c>
      <c r="BT142" s="3" t="s">
        <v>418</v>
      </c>
      <c r="BU142" s="3">
        <v>1</v>
      </c>
      <c r="BV142" s="3" t="str">
        <f>BR142&amp;BQ142</f>
        <v>G2</v>
      </c>
      <c r="BW142" s="3">
        <f>BO142</f>
        <v>0.87532124999999983</v>
      </c>
      <c r="BX142" s="21" t="s">
        <v>417</v>
      </c>
      <c r="BY142" s="3" t="str">
        <f t="shared" si="24"/>
        <v>Och-Mixed_Dilution Plate</v>
      </c>
      <c r="BZ142" s="3" t="str">
        <f t="shared" si="25"/>
        <v>G2</v>
      </c>
      <c r="CA142" s="3" t="str">
        <f t="shared" si="26"/>
        <v>Och-A</v>
      </c>
      <c r="CC142" s="3">
        <v>1.5</v>
      </c>
      <c r="CD142" t="s">
        <v>466</v>
      </c>
      <c r="CE142" s="21" t="str">
        <f t="shared" si="21"/>
        <v>OcA0103208C</v>
      </c>
      <c r="CF142" s="21" t="str">
        <f t="shared" si="27"/>
        <v>Och-ACat_032-Ex1-8C-lcwgs-2-1</v>
      </c>
      <c r="CG142" s="3">
        <f t="shared" si="28"/>
        <v>0.94724029433913426</v>
      </c>
      <c r="CH142">
        <v>1236794</v>
      </c>
      <c r="CI142">
        <v>936009</v>
      </c>
      <c r="CJ142" s="27" t="s">
        <v>79</v>
      </c>
      <c r="CK142" s="3">
        <v>0.51932339665302307</v>
      </c>
      <c r="CL142" t="s">
        <v>1198</v>
      </c>
      <c r="CM142" s="33" t="s">
        <v>1676</v>
      </c>
      <c r="CN142" s="3" t="str">
        <f>B142&amp;"-"&amp;Z142&amp;AA142&amp;"-lcwgs-"&amp;C142&amp;"-2"</f>
        <v>Och-ACat_032-Ex1-8C-lcwgs-2-2</v>
      </c>
      <c r="CR142"/>
    </row>
    <row r="143" spans="1:96" x14ac:dyDescent="0.55000000000000004">
      <c r="A143" t="s">
        <v>275</v>
      </c>
      <c r="B143" t="s">
        <v>786</v>
      </c>
      <c r="C143" s="3">
        <v>2</v>
      </c>
      <c r="E143" t="s">
        <v>198</v>
      </c>
      <c r="F143">
        <v>2</v>
      </c>
      <c r="G143" t="s">
        <v>91</v>
      </c>
      <c r="H143">
        <v>10.018623498436728</v>
      </c>
      <c r="I143" s="3" t="s">
        <v>74</v>
      </c>
      <c r="J143" s="3">
        <v>0.2</v>
      </c>
      <c r="K143" s="3">
        <v>7.25</v>
      </c>
      <c r="L143" s="3">
        <v>0.25</v>
      </c>
      <c r="O143" s="3">
        <v>200</v>
      </c>
      <c r="P143" s="3">
        <v>19.962822241119984</v>
      </c>
      <c r="R143" s="3">
        <v>10</v>
      </c>
      <c r="S143" s="4">
        <v>45141</v>
      </c>
      <c r="T143" s="3" t="s">
        <v>282</v>
      </c>
      <c r="U143" s="3" t="s">
        <v>412</v>
      </c>
      <c r="V143" s="11" t="s">
        <v>108</v>
      </c>
      <c r="W143" s="11">
        <v>3</v>
      </c>
      <c r="X143" s="11" t="s">
        <v>108</v>
      </c>
      <c r="Y143" s="11">
        <v>4</v>
      </c>
      <c r="Z143">
        <v>2</v>
      </c>
      <c r="AA143" t="s">
        <v>91</v>
      </c>
      <c r="AB143" t="s">
        <v>413</v>
      </c>
      <c r="AC143" s="3" t="s">
        <v>78</v>
      </c>
      <c r="AD143" s="3">
        <v>2</v>
      </c>
      <c r="AE143">
        <v>2</v>
      </c>
      <c r="AF143" t="s">
        <v>91</v>
      </c>
      <c r="AG143" t="s">
        <v>650</v>
      </c>
      <c r="AH143" s="17" t="s">
        <v>651</v>
      </c>
      <c r="AI143" t="s">
        <v>618</v>
      </c>
      <c r="AJ143" s="18" t="s">
        <v>619</v>
      </c>
      <c r="AO143" s="10">
        <v>0.34270699999999998</v>
      </c>
      <c r="AP143" s="3">
        <v>37</v>
      </c>
      <c r="AQ143" s="3">
        <f t="shared" si="23"/>
        <v>12.680159</v>
      </c>
      <c r="BE143" s="3" t="s">
        <v>79</v>
      </c>
      <c r="BF143" s="3" t="s">
        <v>415</v>
      </c>
      <c r="BG143" s="3" t="s">
        <v>186</v>
      </c>
      <c r="BH143" s="3" t="s">
        <v>186</v>
      </c>
      <c r="BI143" s="3" t="s">
        <v>186</v>
      </c>
      <c r="BJ143" s="3" t="s">
        <v>186</v>
      </c>
      <c r="BK143" s="3" t="s">
        <v>186</v>
      </c>
      <c r="BL143" s="3" t="s">
        <v>186</v>
      </c>
      <c r="BM143" s="3" t="s">
        <v>186</v>
      </c>
      <c r="BN143" s="3" t="s">
        <v>186</v>
      </c>
      <c r="BO143" s="3" t="s">
        <v>186</v>
      </c>
      <c r="BP143" s="3" t="s">
        <v>186</v>
      </c>
      <c r="BQ143" s="3" t="s">
        <v>186</v>
      </c>
      <c r="BR143" s="3" t="s">
        <v>186</v>
      </c>
      <c r="BS143" s="3" t="s">
        <v>186</v>
      </c>
      <c r="BT143" s="3" t="s">
        <v>186</v>
      </c>
      <c r="BU143" s="3" t="s">
        <v>186</v>
      </c>
      <c r="BV143" s="3" t="s">
        <v>186</v>
      </c>
      <c r="BW143" s="3" t="s">
        <v>186</v>
      </c>
      <c r="BX143" s="21" t="s">
        <v>417</v>
      </c>
      <c r="BY143" s="3" t="str">
        <f t="shared" si="24"/>
        <v>Och-A_RedoLibraries</v>
      </c>
      <c r="BZ143" s="3" t="str">
        <f t="shared" si="25"/>
        <v>G2</v>
      </c>
      <c r="CA143" s="3" t="str">
        <f t="shared" si="26"/>
        <v>Och-A</v>
      </c>
      <c r="CC143" s="3">
        <v>1.5</v>
      </c>
      <c r="CD143" t="s">
        <v>473</v>
      </c>
      <c r="CE143" s="21" t="str">
        <f t="shared" si="21"/>
        <v>OcA0103302G</v>
      </c>
      <c r="CF143" s="21" t="str">
        <f t="shared" si="27"/>
        <v>Och-ATum_033-Ex1-2G-lcwgs-2-1</v>
      </c>
      <c r="CG143" s="3">
        <f t="shared" si="28"/>
        <v>1.5</v>
      </c>
      <c r="CH143">
        <v>118580</v>
      </c>
      <c r="CI143">
        <v>97211</v>
      </c>
      <c r="CJ143" t="s">
        <v>79</v>
      </c>
      <c r="CK143" s="3">
        <v>10.402193155296953</v>
      </c>
      <c r="CL143" t="s">
        <v>1200</v>
      </c>
      <c r="CM143" s="33" t="s">
        <v>1679</v>
      </c>
      <c r="CN143" s="3" t="str">
        <f>B143&amp;"-"&amp;Z143&amp;AA143&amp;"-lcwgs-"&amp;C143&amp;"-2"</f>
        <v>Och-ATum_033-Ex1-2G-lcwgs-2-2</v>
      </c>
      <c r="CR143"/>
    </row>
    <row r="144" spans="1:96" x14ac:dyDescent="0.55000000000000004">
      <c r="A144" t="s">
        <v>233</v>
      </c>
      <c r="B144" t="s">
        <v>738</v>
      </c>
      <c r="C144" s="3">
        <v>2</v>
      </c>
      <c r="E144" t="s">
        <v>198</v>
      </c>
      <c r="F144">
        <v>9</v>
      </c>
      <c r="G144" t="s">
        <v>83</v>
      </c>
      <c r="H144">
        <v>5.7967541550106958</v>
      </c>
      <c r="I144" s="3" t="s">
        <v>74</v>
      </c>
      <c r="J144" s="3">
        <v>0.2</v>
      </c>
      <c r="K144" s="3">
        <v>7.25</v>
      </c>
      <c r="L144" s="3">
        <v>0.25</v>
      </c>
      <c r="O144" s="3">
        <v>200</v>
      </c>
      <c r="P144" s="3">
        <v>34.502066958820507</v>
      </c>
      <c r="R144" s="3">
        <v>10</v>
      </c>
      <c r="S144" s="4">
        <v>45141</v>
      </c>
      <c r="T144" s="3" t="s">
        <v>282</v>
      </c>
      <c r="U144" s="3" t="s">
        <v>412</v>
      </c>
      <c r="V144" s="11" t="s">
        <v>99</v>
      </c>
      <c r="W144" s="11">
        <v>17</v>
      </c>
      <c r="X144" s="11" t="s">
        <v>104</v>
      </c>
      <c r="Y144" s="11">
        <v>17</v>
      </c>
      <c r="Z144">
        <v>9</v>
      </c>
      <c r="AA144" t="s">
        <v>83</v>
      </c>
      <c r="AB144" t="s">
        <v>413</v>
      </c>
      <c r="AC144" s="3" t="s">
        <v>78</v>
      </c>
      <c r="AD144" s="3">
        <v>2</v>
      </c>
      <c r="AE144">
        <v>9</v>
      </c>
      <c r="AF144" t="s">
        <v>83</v>
      </c>
      <c r="AG144" t="s">
        <v>642</v>
      </c>
      <c r="AH144" s="17" t="s">
        <v>643</v>
      </c>
      <c r="AI144" t="s">
        <v>632</v>
      </c>
      <c r="AJ144" s="18" t="s">
        <v>633</v>
      </c>
      <c r="AO144" s="10">
        <v>0.54832700000000001</v>
      </c>
      <c r="AP144" s="3">
        <v>37</v>
      </c>
      <c r="AQ144" s="3">
        <f t="shared" si="23"/>
        <v>20.288098999999999</v>
      </c>
      <c r="BE144" s="3" t="s">
        <v>414</v>
      </c>
      <c r="BF144" s="3" t="s">
        <v>415</v>
      </c>
      <c r="BG144" s="3" t="s">
        <v>416</v>
      </c>
      <c r="BH144" s="3">
        <v>1</v>
      </c>
      <c r="BI144" s="3" t="str">
        <f>AA144&amp;Z144</f>
        <v>C9</v>
      </c>
      <c r="BJ144" s="3">
        <v>1</v>
      </c>
      <c r="BK144" s="3" t="str">
        <f>BR144&amp;BQ144</f>
        <v>B1</v>
      </c>
      <c r="BL144" s="10">
        <v>1.5</v>
      </c>
      <c r="BM144" s="3">
        <v>0.4</v>
      </c>
      <c r="BN144" s="3">
        <f>AO144*BL144/BM144</f>
        <v>2.0562262499999999</v>
      </c>
      <c r="BO144" s="3">
        <f>BN144-BL144</f>
        <v>0.55622624999999992</v>
      </c>
      <c r="BP144" s="3" t="s">
        <v>420</v>
      </c>
      <c r="BQ144">
        <v>1</v>
      </c>
      <c r="BR144" t="s">
        <v>76</v>
      </c>
      <c r="BS144" s="3">
        <v>1</v>
      </c>
      <c r="BT144" s="3" t="s">
        <v>418</v>
      </c>
      <c r="BU144" s="3">
        <v>1</v>
      </c>
      <c r="BV144" s="3" t="str">
        <f>BR144&amp;BQ144</f>
        <v>B1</v>
      </c>
      <c r="BW144" s="3">
        <f>BO144</f>
        <v>0.55622624999999992</v>
      </c>
      <c r="BX144" s="21" t="s">
        <v>417</v>
      </c>
      <c r="BY144" s="3" t="str">
        <f t="shared" si="24"/>
        <v>Och-Mixed_Dilution Plate</v>
      </c>
      <c r="BZ144" s="3" t="str">
        <f t="shared" si="25"/>
        <v>B1</v>
      </c>
      <c r="CA144" s="3" t="str">
        <f t="shared" si="26"/>
        <v>Och-A</v>
      </c>
      <c r="CC144" s="3">
        <v>1.5</v>
      </c>
      <c r="CD144" t="s">
        <v>473</v>
      </c>
      <c r="CE144" s="21" t="str">
        <f t="shared" si="21"/>
        <v>OcA0103309C</v>
      </c>
      <c r="CF144" s="21" t="str">
        <f t="shared" si="27"/>
        <v>Och-ACat_033-Ex1-9C-lcwgs-2-1</v>
      </c>
      <c r="CG144" s="3">
        <f t="shared" si="28"/>
        <v>1.0942375626223038</v>
      </c>
      <c r="CH144">
        <v>1897114</v>
      </c>
      <c r="CI144">
        <v>1461563</v>
      </c>
      <c r="CJ144" s="27" t="s">
        <v>79</v>
      </c>
      <c r="CK144" s="3">
        <v>0.38030669312760196</v>
      </c>
      <c r="CL144" t="s">
        <v>1198</v>
      </c>
      <c r="CM144" s="33" t="s">
        <v>1678</v>
      </c>
      <c r="CN144" s="3" t="str">
        <f>B144&amp;"-"&amp;Z144&amp;AA144&amp;"-lcwgs-"&amp;C144&amp;"-2"</f>
        <v>Och-ACat_033-Ex1-9C-lcwgs-2-2</v>
      </c>
      <c r="CR144"/>
    </row>
    <row r="145" spans="1:96" x14ac:dyDescent="0.55000000000000004">
      <c r="A145" t="s">
        <v>275</v>
      </c>
      <c r="B145" t="s">
        <v>786</v>
      </c>
      <c r="C145" s="3">
        <v>1</v>
      </c>
      <c r="E145" t="s">
        <v>198</v>
      </c>
      <c r="F145">
        <v>2</v>
      </c>
      <c r="G145" t="s">
        <v>91</v>
      </c>
      <c r="H145" s="3">
        <v>10.018623498436728</v>
      </c>
      <c r="I145" s="3" t="s">
        <v>74</v>
      </c>
      <c r="J145" s="3">
        <v>0.2</v>
      </c>
      <c r="K145" s="3">
        <v>7.25</v>
      </c>
      <c r="L145" s="3">
        <v>0.25</v>
      </c>
      <c r="O145" s="3">
        <v>100</v>
      </c>
      <c r="P145" s="3">
        <v>9.9814111205599918</v>
      </c>
      <c r="R145" s="3">
        <v>10</v>
      </c>
      <c r="S145" s="4">
        <v>44945</v>
      </c>
      <c r="T145" s="3" t="s">
        <v>199</v>
      </c>
      <c r="U145" s="3" t="s">
        <v>200</v>
      </c>
      <c r="V145">
        <v>23</v>
      </c>
      <c r="W145" t="s">
        <v>84</v>
      </c>
      <c r="X145">
        <v>24</v>
      </c>
      <c r="Y145" t="s">
        <v>84</v>
      </c>
      <c r="Z145">
        <v>12</v>
      </c>
      <c r="AA145" t="s">
        <v>84</v>
      </c>
      <c r="AB145" t="s">
        <v>201</v>
      </c>
      <c r="AC145" s="3" t="s">
        <v>78</v>
      </c>
      <c r="AD145" s="3">
        <v>5</v>
      </c>
      <c r="AE145">
        <v>12</v>
      </c>
      <c r="AF145" t="s">
        <v>84</v>
      </c>
      <c r="AG145" t="s">
        <v>686</v>
      </c>
      <c r="AH145" s="17" t="s">
        <v>687</v>
      </c>
      <c r="AI145" t="s">
        <v>702</v>
      </c>
      <c r="AJ145" s="18" t="s">
        <v>703</v>
      </c>
      <c r="AO145" s="3">
        <v>0.37338727312486331</v>
      </c>
      <c r="AP145" s="3">
        <v>37</v>
      </c>
      <c r="AQ145" s="3">
        <f t="shared" si="23"/>
        <v>13.815329105619941</v>
      </c>
      <c r="BE145" s="3" t="s">
        <v>79</v>
      </c>
      <c r="BF145" s="3" t="s">
        <v>415</v>
      </c>
      <c r="BG145" s="3" t="s">
        <v>186</v>
      </c>
      <c r="BH145" s="3" t="s">
        <v>186</v>
      </c>
      <c r="BI145" s="3" t="s">
        <v>186</v>
      </c>
      <c r="BJ145" s="3" t="s">
        <v>186</v>
      </c>
      <c r="BK145" s="3" t="s">
        <v>186</v>
      </c>
      <c r="BL145" s="3" t="s">
        <v>186</v>
      </c>
      <c r="BM145" s="3" t="s">
        <v>186</v>
      </c>
      <c r="BN145" s="3" t="s">
        <v>186</v>
      </c>
      <c r="BO145" s="3" t="s">
        <v>186</v>
      </c>
      <c r="BP145" s="3" t="s">
        <v>186</v>
      </c>
      <c r="BQ145" s="3" t="s">
        <v>186</v>
      </c>
      <c r="BR145" s="3" t="s">
        <v>186</v>
      </c>
      <c r="BS145" s="3" t="s">
        <v>186</v>
      </c>
      <c r="BT145" s="3" t="s">
        <v>186</v>
      </c>
      <c r="BU145" s="3" t="s">
        <v>186</v>
      </c>
      <c r="BV145" s="3" t="s">
        <v>186</v>
      </c>
      <c r="BW145" s="3" t="s">
        <v>186</v>
      </c>
      <c r="BX145" s="21" t="s">
        <v>417</v>
      </c>
      <c r="BY145" s="3" t="str">
        <f t="shared" si="24"/>
        <v>PIRE-A_LibrariesforCapture_Jan2023-2</v>
      </c>
      <c r="BZ145" s="3" t="str">
        <f t="shared" si="25"/>
        <v>D12</v>
      </c>
      <c r="CA145" s="3" t="str">
        <f t="shared" si="26"/>
        <v>Och-A</v>
      </c>
      <c r="CC145" s="3">
        <v>1.5</v>
      </c>
      <c r="CD145" t="s">
        <v>473</v>
      </c>
      <c r="CE145" s="21" t="str">
        <f t="shared" si="21"/>
        <v>OcA0103312D</v>
      </c>
      <c r="CF145" s="21" t="str">
        <f t="shared" si="27"/>
        <v>Och-ATum_033-Ex1-12D-lcwgs-1-1</v>
      </c>
      <c r="CG145" s="3">
        <f t="shared" si="28"/>
        <v>1.5</v>
      </c>
      <c r="CH145">
        <v>365</v>
      </c>
      <c r="CI145">
        <v>303</v>
      </c>
      <c r="CJ145" t="s">
        <v>185</v>
      </c>
      <c r="CK145" s="3">
        <v>0</v>
      </c>
      <c r="CL145"/>
      <c r="CM145" s="33"/>
    </row>
    <row r="146" spans="1:96" x14ac:dyDescent="0.55000000000000004">
      <c r="A146" t="s">
        <v>276</v>
      </c>
      <c r="B146" t="s">
        <v>777</v>
      </c>
      <c r="C146" s="3">
        <v>2</v>
      </c>
      <c r="E146" t="s">
        <v>198</v>
      </c>
      <c r="F146">
        <v>3</v>
      </c>
      <c r="G146" t="s">
        <v>91</v>
      </c>
      <c r="H146">
        <v>17.089867533322362</v>
      </c>
      <c r="I146" s="3" t="s">
        <v>74</v>
      </c>
      <c r="J146" s="3">
        <v>0.2</v>
      </c>
      <c r="K146" s="3">
        <v>7.25</v>
      </c>
      <c r="L146" s="3">
        <v>0.25</v>
      </c>
      <c r="O146" s="3">
        <v>200</v>
      </c>
      <c r="P146" s="3">
        <v>11.702840856433422</v>
      </c>
      <c r="R146" s="3">
        <v>10</v>
      </c>
      <c r="S146" s="4">
        <v>45141</v>
      </c>
      <c r="T146" s="3" t="s">
        <v>282</v>
      </c>
      <c r="U146" s="3" t="s">
        <v>412</v>
      </c>
      <c r="V146" s="11" t="s">
        <v>108</v>
      </c>
      <c r="W146" s="11">
        <v>5</v>
      </c>
      <c r="X146" s="11" t="s">
        <v>108</v>
      </c>
      <c r="Y146" s="11">
        <v>6</v>
      </c>
      <c r="Z146">
        <v>3</v>
      </c>
      <c r="AA146" t="s">
        <v>91</v>
      </c>
      <c r="AB146" t="s">
        <v>413</v>
      </c>
      <c r="AC146" s="3" t="s">
        <v>78</v>
      </c>
      <c r="AD146" s="3">
        <v>2</v>
      </c>
      <c r="AE146">
        <v>3</v>
      </c>
      <c r="AF146" t="s">
        <v>91</v>
      </c>
      <c r="AG146" t="s">
        <v>650</v>
      </c>
      <c r="AH146" s="17" t="s">
        <v>651</v>
      </c>
      <c r="AI146" t="s">
        <v>620</v>
      </c>
      <c r="AJ146" s="18" t="s">
        <v>621</v>
      </c>
      <c r="AO146" s="10">
        <v>0.64902099999999996</v>
      </c>
      <c r="AP146" s="3">
        <v>37</v>
      </c>
      <c r="AQ146" s="3">
        <f t="shared" si="23"/>
        <v>24.013776999999997</v>
      </c>
      <c r="BE146" s="3" t="s">
        <v>79</v>
      </c>
      <c r="BF146" s="3" t="s">
        <v>415</v>
      </c>
      <c r="BG146" s="3" t="s">
        <v>416</v>
      </c>
      <c r="BH146" s="3">
        <v>1</v>
      </c>
      <c r="BI146" s="3" t="str">
        <f>AA146&amp;Z146</f>
        <v>G3</v>
      </c>
      <c r="BJ146" s="3">
        <v>1</v>
      </c>
      <c r="BK146" s="3" t="str">
        <f>BR146&amp;BQ146</f>
        <v>H2</v>
      </c>
      <c r="BL146" s="10">
        <v>1.5</v>
      </c>
      <c r="BM146" s="3">
        <v>0.4</v>
      </c>
      <c r="BN146" s="3">
        <f>AO146*BL146/BM146</f>
        <v>2.43382875</v>
      </c>
      <c r="BO146" s="3">
        <f>BN146-BL146</f>
        <v>0.93382874999999999</v>
      </c>
      <c r="BP146" s="3" t="s">
        <v>420</v>
      </c>
      <c r="BQ146">
        <v>2</v>
      </c>
      <c r="BR146" t="s">
        <v>92</v>
      </c>
      <c r="BS146" s="3">
        <v>1</v>
      </c>
      <c r="BT146" s="3" t="s">
        <v>418</v>
      </c>
      <c r="BU146" s="3">
        <v>1</v>
      </c>
      <c r="BV146" s="3" t="str">
        <f>BR146&amp;BQ146</f>
        <v>H2</v>
      </c>
      <c r="BW146" s="3">
        <f>BO146</f>
        <v>0.93382874999999999</v>
      </c>
      <c r="BX146" s="21" t="s">
        <v>417</v>
      </c>
      <c r="BY146" s="3" t="str">
        <f t="shared" si="24"/>
        <v>Och-Mixed_Dilution Plate</v>
      </c>
      <c r="BZ146" s="3" t="str">
        <f t="shared" si="25"/>
        <v>H2</v>
      </c>
      <c r="CA146" s="3" t="str">
        <f t="shared" si="26"/>
        <v>Och-A</v>
      </c>
      <c r="CC146" s="3">
        <v>1.5</v>
      </c>
      <c r="CD146" t="s">
        <v>480</v>
      </c>
      <c r="CE146" s="21" t="str">
        <f t="shared" si="21"/>
        <v>OcA0103403G</v>
      </c>
      <c r="CF146" s="21" t="str">
        <f t="shared" si="27"/>
        <v>Och-ATum_034-Ex1-3G-lcwgs-2-1</v>
      </c>
      <c r="CG146" s="3">
        <f t="shared" si="28"/>
        <v>0.92446931609300786</v>
      </c>
      <c r="CH146">
        <v>79411</v>
      </c>
      <c r="CI146">
        <v>66631</v>
      </c>
      <c r="CJ146" t="s">
        <v>79</v>
      </c>
      <c r="CK146" s="3">
        <v>9.359422522099706</v>
      </c>
      <c r="CL146" t="s">
        <v>1200</v>
      </c>
      <c r="CM146" s="33" t="s">
        <v>1681</v>
      </c>
      <c r="CN146" s="3" t="str">
        <f t="shared" ref="CN146:CN168" si="29">B146&amp;"-"&amp;Z146&amp;AA146&amp;"-lcwgs-"&amp;C146&amp;"-2"</f>
        <v>Och-ATum_034-Ex1-3G-lcwgs-2-2</v>
      </c>
      <c r="CR146"/>
    </row>
    <row r="147" spans="1:96" x14ac:dyDescent="0.55000000000000004">
      <c r="A147" t="s">
        <v>234</v>
      </c>
      <c r="B147" t="s">
        <v>739</v>
      </c>
      <c r="C147" s="3">
        <v>2</v>
      </c>
      <c r="E147" t="s">
        <v>198</v>
      </c>
      <c r="F147">
        <v>10</v>
      </c>
      <c r="G147" t="s">
        <v>83</v>
      </c>
      <c r="H147">
        <v>5.1763370083922986</v>
      </c>
      <c r="I147" s="3" t="s">
        <v>74</v>
      </c>
      <c r="J147" s="3">
        <v>0.2</v>
      </c>
      <c r="K147" s="3">
        <v>7.25</v>
      </c>
      <c r="L147" s="3">
        <v>0.25</v>
      </c>
      <c r="O147" s="3">
        <v>200</v>
      </c>
      <c r="P147" s="3">
        <v>38.637360681065346</v>
      </c>
      <c r="R147" s="3">
        <v>10</v>
      </c>
      <c r="S147" s="4">
        <v>45141</v>
      </c>
      <c r="T147" s="3" t="s">
        <v>282</v>
      </c>
      <c r="U147" s="3" t="s">
        <v>412</v>
      </c>
      <c r="V147" s="11" t="s">
        <v>99</v>
      </c>
      <c r="W147" s="11">
        <v>19</v>
      </c>
      <c r="X147" s="11" t="s">
        <v>104</v>
      </c>
      <c r="Y147" s="11">
        <v>19</v>
      </c>
      <c r="Z147">
        <v>10</v>
      </c>
      <c r="AA147" t="s">
        <v>83</v>
      </c>
      <c r="AB147" t="s">
        <v>413</v>
      </c>
      <c r="AC147" s="3" t="s">
        <v>78</v>
      </c>
      <c r="AD147" s="3">
        <v>2</v>
      </c>
      <c r="AE147">
        <v>10</v>
      </c>
      <c r="AF147" t="s">
        <v>83</v>
      </c>
      <c r="AG147" t="s">
        <v>642</v>
      </c>
      <c r="AH147" s="17" t="s">
        <v>643</v>
      </c>
      <c r="AI147" t="s">
        <v>634</v>
      </c>
      <c r="AJ147" s="18" t="s">
        <v>635</v>
      </c>
      <c r="AO147" s="10">
        <v>1.0589029999999999</v>
      </c>
      <c r="AP147" s="3">
        <v>37</v>
      </c>
      <c r="AQ147" s="3">
        <f t="shared" si="23"/>
        <v>39.179410999999995</v>
      </c>
      <c r="BE147" s="3" t="s">
        <v>79</v>
      </c>
      <c r="BF147" s="3" t="s">
        <v>415</v>
      </c>
      <c r="BG147" s="3" t="s">
        <v>416</v>
      </c>
      <c r="BH147" s="3">
        <v>1</v>
      </c>
      <c r="BI147" s="3" t="str">
        <f>AA147&amp;Z147</f>
        <v>C10</v>
      </c>
      <c r="BJ147" s="3">
        <v>1</v>
      </c>
      <c r="BK147" s="3" t="str">
        <f>BR147&amp;BQ147</f>
        <v>E4</v>
      </c>
      <c r="BL147" s="10">
        <v>1.5</v>
      </c>
      <c r="BM147" s="3">
        <v>0.4</v>
      </c>
      <c r="BN147" s="3">
        <f>AO147*BL147/BM147</f>
        <v>3.9708862499999995</v>
      </c>
      <c r="BO147" s="3">
        <f>BN147-BL147</f>
        <v>2.4708862499999995</v>
      </c>
      <c r="BP147" s="3" t="s">
        <v>420</v>
      </c>
      <c r="BQ147">
        <v>4</v>
      </c>
      <c r="BR147" t="s">
        <v>87</v>
      </c>
      <c r="BS147" s="3">
        <v>1</v>
      </c>
      <c r="BT147" s="3" t="s">
        <v>418</v>
      </c>
      <c r="BU147" s="3">
        <v>1</v>
      </c>
      <c r="BV147" s="3" t="str">
        <f>BR147&amp;BQ147</f>
        <v>E4</v>
      </c>
      <c r="BW147" s="3">
        <f>BO147</f>
        <v>2.4708862499999995</v>
      </c>
      <c r="BX147" s="21" t="s">
        <v>417</v>
      </c>
      <c r="BY147" s="3" t="str">
        <f t="shared" si="24"/>
        <v>Och-Mixed_Dilution Plate</v>
      </c>
      <c r="BZ147" s="3" t="str">
        <f t="shared" si="25"/>
        <v>E4</v>
      </c>
      <c r="CA147" s="3" t="str">
        <f t="shared" si="26"/>
        <v>Och-A</v>
      </c>
      <c r="CC147" s="3">
        <v>1.5</v>
      </c>
      <c r="CD147" t="s">
        <v>480</v>
      </c>
      <c r="CE147" s="21" t="str">
        <f t="shared" si="21"/>
        <v>OcA0103410C</v>
      </c>
      <c r="CF147" s="21" t="str">
        <f t="shared" si="27"/>
        <v>Och-ACat_034-Ex1-10C-lcwgs-2-1</v>
      </c>
      <c r="CG147" s="3">
        <f t="shared" si="28"/>
        <v>0.56662413837716963</v>
      </c>
      <c r="CH147">
        <v>2642785</v>
      </c>
      <c r="CI147">
        <v>2071346</v>
      </c>
      <c r="CJ147" s="27" t="s">
        <v>79</v>
      </c>
      <c r="CK147" s="3">
        <v>0.13730914122042465</v>
      </c>
      <c r="CL147" t="s">
        <v>1198</v>
      </c>
      <c r="CM147" s="33" t="s">
        <v>1680</v>
      </c>
      <c r="CN147" s="3" t="str">
        <f t="shared" si="29"/>
        <v>Och-ACat_034-Ex1-10C-lcwgs-2-2</v>
      </c>
      <c r="CR147"/>
    </row>
    <row r="148" spans="1:96" x14ac:dyDescent="0.55000000000000004">
      <c r="A148" t="s">
        <v>277</v>
      </c>
      <c r="B148" t="s">
        <v>778</v>
      </c>
      <c r="C148" s="3">
        <v>2</v>
      </c>
      <c r="E148" t="s">
        <v>198</v>
      </c>
      <c r="F148">
        <v>4</v>
      </c>
      <c r="G148" t="s">
        <v>91</v>
      </c>
      <c r="H148">
        <v>11.384906203718941</v>
      </c>
      <c r="I148" s="3" t="s">
        <v>74</v>
      </c>
      <c r="J148" s="3">
        <v>0.2</v>
      </c>
      <c r="K148" s="3">
        <v>7.25</v>
      </c>
      <c r="L148" s="3">
        <v>0.25</v>
      </c>
      <c r="O148" s="3">
        <v>200</v>
      </c>
      <c r="P148" s="3">
        <v>17.567118816900653</v>
      </c>
      <c r="R148" s="3">
        <v>10</v>
      </c>
      <c r="S148" s="4">
        <v>45141</v>
      </c>
      <c r="T148" s="3" t="s">
        <v>282</v>
      </c>
      <c r="U148" s="3" t="s">
        <v>412</v>
      </c>
      <c r="V148" s="11" t="s">
        <v>108</v>
      </c>
      <c r="W148" s="11">
        <v>7</v>
      </c>
      <c r="X148" s="11" t="s">
        <v>108</v>
      </c>
      <c r="Y148" s="11">
        <v>8</v>
      </c>
      <c r="Z148">
        <v>4</v>
      </c>
      <c r="AA148" t="s">
        <v>91</v>
      </c>
      <c r="AB148" t="s">
        <v>413</v>
      </c>
      <c r="AC148" s="3" t="s">
        <v>78</v>
      </c>
      <c r="AD148" s="3">
        <v>2</v>
      </c>
      <c r="AE148">
        <v>4</v>
      </c>
      <c r="AF148" t="s">
        <v>91</v>
      </c>
      <c r="AG148" t="s">
        <v>650</v>
      </c>
      <c r="AH148" s="17" t="s">
        <v>651</v>
      </c>
      <c r="AI148" t="s">
        <v>622</v>
      </c>
      <c r="AJ148" s="18" t="s">
        <v>623</v>
      </c>
      <c r="AO148" s="10">
        <v>0.608962</v>
      </c>
      <c r="AP148" s="3">
        <v>37</v>
      </c>
      <c r="AQ148" s="3">
        <f t="shared" si="23"/>
        <v>22.531593999999998</v>
      </c>
      <c r="BE148" s="3" t="s">
        <v>79</v>
      </c>
      <c r="BF148" s="3" t="s">
        <v>415</v>
      </c>
      <c r="BG148" s="3" t="s">
        <v>416</v>
      </c>
      <c r="BH148" s="3">
        <v>1</v>
      </c>
      <c r="BI148" s="3" t="str">
        <f>AA148&amp;Z148</f>
        <v>G4</v>
      </c>
      <c r="BJ148" s="3">
        <v>1</v>
      </c>
      <c r="BK148" s="3" t="str">
        <f>BR148&amp;BQ148</f>
        <v>A2</v>
      </c>
      <c r="BL148" s="10">
        <v>1.5</v>
      </c>
      <c r="BM148" s="3">
        <v>0.4</v>
      </c>
      <c r="BN148" s="3">
        <f>AO148*BL148/BM148</f>
        <v>2.2836075</v>
      </c>
      <c r="BO148" s="3">
        <f>BN148-BL148</f>
        <v>0.78360750000000001</v>
      </c>
      <c r="BP148" s="3" t="s">
        <v>420</v>
      </c>
      <c r="BQ148">
        <v>2</v>
      </c>
      <c r="BR148" t="s">
        <v>73</v>
      </c>
      <c r="BS148" s="3">
        <v>1</v>
      </c>
      <c r="BT148" s="3" t="s">
        <v>418</v>
      </c>
      <c r="BU148" s="3">
        <v>1</v>
      </c>
      <c r="BV148" s="3" t="str">
        <f>BR148&amp;BQ148</f>
        <v>A2</v>
      </c>
      <c r="BW148" s="3">
        <f>BO148</f>
        <v>0.78360750000000001</v>
      </c>
      <c r="BX148" s="21" t="s">
        <v>417</v>
      </c>
      <c r="BY148" s="3" t="str">
        <f t="shared" si="24"/>
        <v>Och-Mixed_Dilution Plate</v>
      </c>
      <c r="BZ148" s="3" t="str">
        <f t="shared" si="25"/>
        <v>A2</v>
      </c>
      <c r="CA148" s="3" t="str">
        <f t="shared" si="26"/>
        <v>Och-A</v>
      </c>
      <c r="CC148" s="3">
        <v>1.5</v>
      </c>
      <c r="CD148" t="s">
        <v>487</v>
      </c>
      <c r="CE148" s="21" t="str">
        <f t="shared" si="21"/>
        <v>OcA0103504G</v>
      </c>
      <c r="CF148" s="21" t="str">
        <f t="shared" si="27"/>
        <v>Och-ATum_035-Ex1-4G-lcwgs-2-1</v>
      </c>
      <c r="CG148" s="3">
        <f t="shared" si="28"/>
        <v>0.98528315395706123</v>
      </c>
      <c r="CH148">
        <v>63905</v>
      </c>
      <c r="CI148">
        <v>52735</v>
      </c>
      <c r="CJ148" t="s">
        <v>79</v>
      </c>
      <c r="CK148" s="3">
        <v>12.607352637387496</v>
      </c>
      <c r="CL148" t="s">
        <v>1200</v>
      </c>
      <c r="CM148" s="33" t="s">
        <v>1683</v>
      </c>
      <c r="CN148" s="3" t="str">
        <f t="shared" si="29"/>
        <v>Och-ATum_035-Ex1-4G-lcwgs-2-2</v>
      </c>
      <c r="CR148"/>
    </row>
    <row r="149" spans="1:96" x14ac:dyDescent="0.55000000000000004">
      <c r="A149" t="s">
        <v>235</v>
      </c>
      <c r="B149" t="s">
        <v>740</v>
      </c>
      <c r="C149" s="3">
        <v>2</v>
      </c>
      <c r="E149" t="s">
        <v>198</v>
      </c>
      <c r="F149">
        <v>11</v>
      </c>
      <c r="G149" t="s">
        <v>83</v>
      </c>
      <c r="H149">
        <v>6.7836638143820966</v>
      </c>
      <c r="I149" s="3" t="s">
        <v>74</v>
      </c>
      <c r="J149" s="3">
        <v>0.2</v>
      </c>
      <c r="K149" s="3">
        <v>7.25</v>
      </c>
      <c r="L149" s="3">
        <v>0.25</v>
      </c>
      <c r="O149" s="3">
        <v>200</v>
      </c>
      <c r="P149" s="3">
        <v>29.482593104920454</v>
      </c>
      <c r="R149" s="3">
        <v>10</v>
      </c>
      <c r="S149" s="4">
        <v>45141</v>
      </c>
      <c r="T149" s="3" t="s">
        <v>282</v>
      </c>
      <c r="U149" s="3" t="s">
        <v>412</v>
      </c>
      <c r="V149" s="11" t="s">
        <v>99</v>
      </c>
      <c r="W149" s="11">
        <v>21</v>
      </c>
      <c r="X149" s="11" t="s">
        <v>104</v>
      </c>
      <c r="Y149" s="11">
        <v>21</v>
      </c>
      <c r="Z149">
        <v>11</v>
      </c>
      <c r="AA149" t="s">
        <v>83</v>
      </c>
      <c r="AB149" t="s">
        <v>413</v>
      </c>
      <c r="AC149" s="3" t="s">
        <v>78</v>
      </c>
      <c r="AD149" s="3">
        <v>2</v>
      </c>
      <c r="AE149">
        <v>11</v>
      </c>
      <c r="AF149" t="s">
        <v>83</v>
      </c>
      <c r="AG149" t="s">
        <v>642</v>
      </c>
      <c r="AH149" s="17" t="s">
        <v>643</v>
      </c>
      <c r="AI149" t="s">
        <v>636</v>
      </c>
      <c r="AJ149" s="18" t="s">
        <v>637</v>
      </c>
      <c r="AO149" s="10">
        <v>0.451486</v>
      </c>
      <c r="AP149" s="3">
        <v>37</v>
      </c>
      <c r="AQ149" s="3">
        <f t="shared" si="23"/>
        <v>16.704982000000001</v>
      </c>
      <c r="BE149" s="3" t="s">
        <v>79</v>
      </c>
      <c r="BF149" s="3" t="s">
        <v>415</v>
      </c>
      <c r="BG149" s="3" t="s">
        <v>186</v>
      </c>
      <c r="BH149" s="3" t="s">
        <v>186</v>
      </c>
      <c r="BI149" s="3" t="s">
        <v>186</v>
      </c>
      <c r="BJ149" s="3" t="s">
        <v>186</v>
      </c>
      <c r="BK149" s="3" t="s">
        <v>186</v>
      </c>
      <c r="BL149" s="3" t="s">
        <v>186</v>
      </c>
      <c r="BM149" s="3" t="s">
        <v>186</v>
      </c>
      <c r="BN149" s="3" t="s">
        <v>186</v>
      </c>
      <c r="BO149" s="3" t="s">
        <v>186</v>
      </c>
      <c r="BP149" s="3" t="s">
        <v>186</v>
      </c>
      <c r="BQ149" s="3" t="s">
        <v>186</v>
      </c>
      <c r="BR149" s="3" t="s">
        <v>186</v>
      </c>
      <c r="BS149" s="3" t="s">
        <v>186</v>
      </c>
      <c r="BT149" s="3" t="s">
        <v>186</v>
      </c>
      <c r="BU149" s="3" t="s">
        <v>186</v>
      </c>
      <c r="BV149" s="3" t="s">
        <v>186</v>
      </c>
      <c r="BW149" s="3" t="s">
        <v>186</v>
      </c>
      <c r="BX149" s="21" t="s">
        <v>417</v>
      </c>
      <c r="BY149" s="3" t="str">
        <f t="shared" si="24"/>
        <v>Och-A_RedoLibraries</v>
      </c>
      <c r="BZ149" s="3" t="str">
        <f t="shared" si="25"/>
        <v>C11</v>
      </c>
      <c r="CA149" s="3" t="str">
        <f t="shared" si="26"/>
        <v>Och-A</v>
      </c>
      <c r="CC149" s="3">
        <v>1.5</v>
      </c>
      <c r="CD149" t="s">
        <v>487</v>
      </c>
      <c r="CE149" s="21" t="str">
        <f t="shared" si="21"/>
        <v>OcA0103511C</v>
      </c>
      <c r="CF149" s="21" t="str">
        <f t="shared" si="27"/>
        <v>Och-ACat_035-Ex1-11C-lcwgs-2-1</v>
      </c>
      <c r="CG149" s="3">
        <f t="shared" si="28"/>
        <v>1.5</v>
      </c>
      <c r="CH149">
        <v>597171</v>
      </c>
      <c r="CI149">
        <v>422798</v>
      </c>
      <c r="CJ149" s="27" t="s">
        <v>79</v>
      </c>
      <c r="CK149" s="3">
        <v>1.838599963468537</v>
      </c>
      <c r="CL149" t="s">
        <v>1198</v>
      </c>
      <c r="CM149" s="33" t="s">
        <v>1682</v>
      </c>
      <c r="CN149" s="3" t="str">
        <f t="shared" si="29"/>
        <v>Och-ACat_035-Ex1-11C-lcwgs-2-2</v>
      </c>
      <c r="CR149"/>
    </row>
    <row r="150" spans="1:96" x14ac:dyDescent="0.55000000000000004">
      <c r="A150" t="s">
        <v>278</v>
      </c>
      <c r="B150" t="s">
        <v>779</v>
      </c>
      <c r="C150" s="3">
        <v>2</v>
      </c>
      <c r="E150" t="s">
        <v>198</v>
      </c>
      <c r="F150">
        <v>5</v>
      </c>
      <c r="G150" t="s">
        <v>91</v>
      </c>
      <c r="H150">
        <v>6.8735066644726004</v>
      </c>
      <c r="I150" s="3" t="s">
        <v>74</v>
      </c>
      <c r="J150" s="3">
        <v>0.2</v>
      </c>
      <c r="K150" s="3">
        <v>7.25</v>
      </c>
      <c r="L150" s="3">
        <v>0.25</v>
      </c>
      <c r="O150" s="3">
        <v>200</v>
      </c>
      <c r="P150" s="3">
        <v>29.097229371108185</v>
      </c>
      <c r="R150" s="3">
        <v>10</v>
      </c>
      <c r="S150" s="4">
        <v>45141</v>
      </c>
      <c r="T150" s="3" t="s">
        <v>282</v>
      </c>
      <c r="U150" s="3" t="s">
        <v>412</v>
      </c>
      <c r="V150" s="11" t="s">
        <v>108</v>
      </c>
      <c r="W150" s="11">
        <v>9</v>
      </c>
      <c r="X150" s="11" t="s">
        <v>108</v>
      </c>
      <c r="Y150" s="11">
        <v>10</v>
      </c>
      <c r="Z150">
        <v>5</v>
      </c>
      <c r="AA150" t="s">
        <v>91</v>
      </c>
      <c r="AB150" t="s">
        <v>413</v>
      </c>
      <c r="AC150" s="3" t="s">
        <v>78</v>
      </c>
      <c r="AD150" s="3">
        <v>2</v>
      </c>
      <c r="AE150">
        <v>5</v>
      </c>
      <c r="AF150" t="s">
        <v>91</v>
      </c>
      <c r="AG150" t="s">
        <v>650</v>
      </c>
      <c r="AH150" s="17" t="s">
        <v>651</v>
      </c>
      <c r="AI150" t="s">
        <v>624</v>
      </c>
      <c r="AJ150" s="18" t="s">
        <v>625</v>
      </c>
      <c r="AO150" s="10">
        <v>0.55100499999999997</v>
      </c>
      <c r="AP150" s="3">
        <v>37</v>
      </c>
      <c r="AQ150" s="3">
        <f t="shared" si="23"/>
        <v>20.387184999999999</v>
      </c>
      <c r="BE150" s="3" t="s">
        <v>79</v>
      </c>
      <c r="BF150" s="3" t="s">
        <v>415</v>
      </c>
      <c r="BG150" s="3" t="s">
        <v>416</v>
      </c>
      <c r="BH150" s="3">
        <v>1</v>
      </c>
      <c r="BI150" s="3" t="str">
        <f>AA150&amp;Z150</f>
        <v>G5</v>
      </c>
      <c r="BJ150" s="3">
        <v>1</v>
      </c>
      <c r="BK150" s="3" t="str">
        <f>BR150&amp;BQ150</f>
        <v>C1</v>
      </c>
      <c r="BL150" s="10">
        <v>1.5</v>
      </c>
      <c r="BM150" s="3">
        <v>0.4</v>
      </c>
      <c r="BN150" s="3">
        <f>AO150*BL150/BM150</f>
        <v>2.0662687499999999</v>
      </c>
      <c r="BO150" s="3">
        <f>BN150-BL150</f>
        <v>0.56626874999999988</v>
      </c>
      <c r="BP150" s="3" t="s">
        <v>420</v>
      </c>
      <c r="BQ150">
        <v>1</v>
      </c>
      <c r="BR150" t="s">
        <v>83</v>
      </c>
      <c r="BS150" s="3">
        <v>1</v>
      </c>
      <c r="BT150" s="3" t="s">
        <v>418</v>
      </c>
      <c r="BU150" s="3">
        <v>1</v>
      </c>
      <c r="BV150" s="3" t="str">
        <f>BR150&amp;BQ150</f>
        <v>C1</v>
      </c>
      <c r="BW150" s="3">
        <f>BO150</f>
        <v>0.56626874999999988</v>
      </c>
      <c r="BX150" s="21" t="s">
        <v>417</v>
      </c>
      <c r="BY150" s="3" t="str">
        <f t="shared" si="24"/>
        <v>Och-Mixed_Dilution Plate</v>
      </c>
      <c r="BZ150" s="3" t="str">
        <f t="shared" si="25"/>
        <v>C1</v>
      </c>
      <c r="CA150" s="3" t="str">
        <f t="shared" si="26"/>
        <v>Och-A</v>
      </c>
      <c r="CC150" s="3">
        <v>1.5</v>
      </c>
      <c r="CD150" t="s">
        <v>494</v>
      </c>
      <c r="CE150" s="21" t="str">
        <f t="shared" si="21"/>
        <v>OcA0103605G</v>
      </c>
      <c r="CF150" s="21" t="str">
        <f t="shared" si="27"/>
        <v>Och-ATum_036-Ex1-5G-lcwgs-2-1</v>
      </c>
      <c r="CG150" s="3">
        <f t="shared" si="28"/>
        <v>1.0889193383000155</v>
      </c>
      <c r="CH150">
        <v>776246</v>
      </c>
      <c r="CI150">
        <v>569042</v>
      </c>
      <c r="CJ150" t="s">
        <v>79</v>
      </c>
      <c r="CK150" s="3">
        <v>1.2770198172942979</v>
      </c>
      <c r="CL150" t="s">
        <v>1200</v>
      </c>
      <c r="CM150" s="33" t="s">
        <v>1685</v>
      </c>
      <c r="CN150" s="3" t="str">
        <f t="shared" si="29"/>
        <v>Och-ATum_036-Ex1-5G-lcwgs-2-2</v>
      </c>
      <c r="CR150"/>
    </row>
    <row r="151" spans="1:96" x14ac:dyDescent="0.55000000000000004">
      <c r="A151" t="s">
        <v>236</v>
      </c>
      <c r="B151" t="s">
        <v>741</v>
      </c>
      <c r="C151" s="3">
        <v>2</v>
      </c>
      <c r="E151" t="s">
        <v>198</v>
      </c>
      <c r="F151">
        <v>12</v>
      </c>
      <c r="G151" t="s">
        <v>83</v>
      </c>
      <c r="H151">
        <v>4.4407684712851729</v>
      </c>
      <c r="I151" s="3" t="s">
        <v>74</v>
      </c>
      <c r="J151" s="3">
        <v>0.2</v>
      </c>
      <c r="K151" s="3">
        <v>7.25</v>
      </c>
      <c r="L151" s="3">
        <v>0.25</v>
      </c>
      <c r="O151" s="3">
        <v>200</v>
      </c>
      <c r="P151" s="3">
        <v>45.037250037518696</v>
      </c>
      <c r="R151" s="3">
        <v>10</v>
      </c>
      <c r="S151" s="4">
        <v>45141</v>
      </c>
      <c r="T151" s="3" t="s">
        <v>282</v>
      </c>
      <c r="U151" s="3" t="s">
        <v>412</v>
      </c>
      <c r="V151" s="11" t="s">
        <v>99</v>
      </c>
      <c r="W151" s="11">
        <v>23</v>
      </c>
      <c r="X151" s="11" t="s">
        <v>104</v>
      </c>
      <c r="Y151" s="11">
        <v>23</v>
      </c>
      <c r="Z151">
        <v>12</v>
      </c>
      <c r="AA151" t="s">
        <v>83</v>
      </c>
      <c r="AB151" t="s">
        <v>413</v>
      </c>
      <c r="AC151" s="3" t="s">
        <v>78</v>
      </c>
      <c r="AD151" s="3">
        <v>2</v>
      </c>
      <c r="AE151">
        <v>12</v>
      </c>
      <c r="AF151" t="s">
        <v>83</v>
      </c>
      <c r="AG151" t="s">
        <v>642</v>
      </c>
      <c r="AH151" s="17" t="s">
        <v>643</v>
      </c>
      <c r="AI151" t="s">
        <v>638</v>
      </c>
      <c r="AJ151" s="18" t="s">
        <v>639</v>
      </c>
      <c r="AO151" s="10">
        <v>0.61170599999999997</v>
      </c>
      <c r="AP151" s="3">
        <v>37</v>
      </c>
      <c r="AQ151" s="3">
        <f t="shared" si="23"/>
        <v>22.633122</v>
      </c>
      <c r="BE151" s="3" t="s">
        <v>79</v>
      </c>
      <c r="BF151" s="3" t="s">
        <v>415</v>
      </c>
      <c r="BG151" s="3" t="s">
        <v>416</v>
      </c>
      <c r="BH151" s="3">
        <v>1</v>
      </c>
      <c r="BI151" s="3" t="str">
        <f>AA151&amp;Z151</f>
        <v>C12</v>
      </c>
      <c r="BJ151" s="3">
        <v>1</v>
      </c>
      <c r="BK151" s="3" t="str">
        <f>BR151&amp;BQ151</f>
        <v>B2</v>
      </c>
      <c r="BL151" s="10">
        <v>1.5</v>
      </c>
      <c r="BM151" s="3">
        <v>0.4</v>
      </c>
      <c r="BN151" s="3">
        <f>AO151*BL151/BM151</f>
        <v>2.2938974999999999</v>
      </c>
      <c r="BO151" s="3">
        <f>BN151-BL151</f>
        <v>0.79389749999999992</v>
      </c>
      <c r="BP151" s="3" t="s">
        <v>420</v>
      </c>
      <c r="BQ151">
        <v>2</v>
      </c>
      <c r="BR151" t="s">
        <v>76</v>
      </c>
      <c r="BS151" s="3">
        <v>1</v>
      </c>
      <c r="BT151" s="3" t="s">
        <v>418</v>
      </c>
      <c r="BU151" s="3">
        <v>1</v>
      </c>
      <c r="BV151" s="3" t="str">
        <f>BR151&amp;BQ151</f>
        <v>B2</v>
      </c>
      <c r="BW151" s="3">
        <f>BO151</f>
        <v>0.79389749999999992</v>
      </c>
      <c r="BX151" s="21" t="s">
        <v>417</v>
      </c>
      <c r="BY151" s="3" t="str">
        <f t="shared" si="24"/>
        <v>Och-Mixed_Dilution Plate</v>
      </c>
      <c r="BZ151" s="3" t="str">
        <f t="shared" si="25"/>
        <v>B2</v>
      </c>
      <c r="CA151" s="3" t="str">
        <f t="shared" si="26"/>
        <v>Och-A</v>
      </c>
      <c r="CC151" s="3">
        <v>1.5</v>
      </c>
      <c r="CD151" t="s">
        <v>494</v>
      </c>
      <c r="CE151" s="21" t="str">
        <f t="shared" si="21"/>
        <v>OcA0103612C</v>
      </c>
      <c r="CF151" s="21" t="str">
        <f t="shared" si="27"/>
        <v>Och-ACat_036-Ex1-12C-lcwgs-2-1</v>
      </c>
      <c r="CG151" s="3">
        <f t="shared" si="28"/>
        <v>0.98086335592588592</v>
      </c>
      <c r="CH151">
        <v>967867</v>
      </c>
      <c r="CI151">
        <v>670767</v>
      </c>
      <c r="CJ151" s="27" t="s">
        <v>79</v>
      </c>
      <c r="CK151" s="3">
        <v>0.75423602756099095</v>
      </c>
      <c r="CL151" t="s">
        <v>1198</v>
      </c>
      <c r="CM151" s="33" t="s">
        <v>1684</v>
      </c>
      <c r="CN151" s="3" t="str">
        <f t="shared" si="29"/>
        <v>Och-ACat_036-Ex1-12C-lcwgs-2-2</v>
      </c>
      <c r="CR151"/>
    </row>
    <row r="152" spans="1:96" x14ac:dyDescent="0.55000000000000004">
      <c r="A152" t="s">
        <v>237</v>
      </c>
      <c r="B152" t="s">
        <v>742</v>
      </c>
      <c r="C152" s="3">
        <v>2</v>
      </c>
      <c r="E152" t="s">
        <v>198</v>
      </c>
      <c r="F152">
        <v>1</v>
      </c>
      <c r="G152" t="s">
        <v>84</v>
      </c>
      <c r="H152">
        <v>2.0565328286983711</v>
      </c>
      <c r="I152" s="3" t="s">
        <v>74</v>
      </c>
      <c r="J152" s="3">
        <v>0.2</v>
      </c>
      <c r="K152" s="3">
        <v>7.25</v>
      </c>
      <c r="L152" s="3">
        <v>0.25</v>
      </c>
      <c r="O152" s="3">
        <v>92.5439772914267</v>
      </c>
      <c r="P152" s="3">
        <v>45</v>
      </c>
      <c r="R152" s="3">
        <v>10</v>
      </c>
      <c r="S152" s="4">
        <v>45141</v>
      </c>
      <c r="T152" s="3" t="s">
        <v>282</v>
      </c>
      <c r="U152" s="3" t="s">
        <v>412</v>
      </c>
      <c r="V152" s="11" t="s">
        <v>99</v>
      </c>
      <c r="W152" s="11">
        <v>2</v>
      </c>
      <c r="X152" s="11" t="s">
        <v>104</v>
      </c>
      <c r="Y152" s="11">
        <v>2</v>
      </c>
      <c r="Z152">
        <v>1</v>
      </c>
      <c r="AA152" t="s">
        <v>84</v>
      </c>
      <c r="AB152" t="s">
        <v>413</v>
      </c>
      <c r="AC152" s="3" t="s">
        <v>78</v>
      </c>
      <c r="AD152" s="3">
        <v>2</v>
      </c>
      <c r="AE152">
        <v>1</v>
      </c>
      <c r="AF152" t="s">
        <v>84</v>
      </c>
      <c r="AG152" t="s">
        <v>644</v>
      </c>
      <c r="AH152" s="17" t="s">
        <v>645</v>
      </c>
      <c r="AI152" t="s">
        <v>616</v>
      </c>
      <c r="AJ152" s="18" t="s">
        <v>617</v>
      </c>
      <c r="AO152" s="10">
        <v>3.2257229999999999</v>
      </c>
      <c r="AP152" s="3">
        <v>37</v>
      </c>
      <c r="AQ152" s="3">
        <f t="shared" si="23"/>
        <v>119.35175099999999</v>
      </c>
      <c r="BE152" s="3" t="s">
        <v>79</v>
      </c>
      <c r="BF152" s="3" t="s">
        <v>415</v>
      </c>
      <c r="BG152" s="3" t="s">
        <v>416</v>
      </c>
      <c r="BH152" s="3">
        <v>1</v>
      </c>
      <c r="BI152" s="3" t="str">
        <f>AA152&amp;Z152</f>
        <v>D1</v>
      </c>
      <c r="BJ152" s="3">
        <v>1</v>
      </c>
      <c r="BK152" s="3" t="str">
        <f>BR152&amp;BQ152</f>
        <v>C6</v>
      </c>
      <c r="BL152" s="10">
        <v>1.5</v>
      </c>
      <c r="BM152" s="3">
        <v>0.4</v>
      </c>
      <c r="BN152" s="3">
        <f>AO152*BL152/BM152</f>
        <v>12.096461249999999</v>
      </c>
      <c r="BO152" s="3">
        <f>BN152-BL152</f>
        <v>10.596461249999999</v>
      </c>
      <c r="BP152" s="3" t="s">
        <v>420</v>
      </c>
      <c r="BQ152">
        <v>6</v>
      </c>
      <c r="BR152" t="s">
        <v>83</v>
      </c>
      <c r="BS152" s="3">
        <v>1</v>
      </c>
      <c r="BT152" s="3" t="s">
        <v>418</v>
      </c>
      <c r="BU152" s="3">
        <v>1</v>
      </c>
      <c r="BV152" s="3" t="str">
        <f>BR152&amp;BQ152</f>
        <v>C6</v>
      </c>
      <c r="BW152" s="3">
        <f>BO152</f>
        <v>10.596461249999999</v>
      </c>
      <c r="BX152" s="21" t="s">
        <v>417</v>
      </c>
      <c r="BY152" s="3" t="str">
        <f t="shared" si="24"/>
        <v>Och-Mixed_Dilution Plate</v>
      </c>
      <c r="BZ152" s="3" t="str">
        <f t="shared" si="25"/>
        <v>C6</v>
      </c>
      <c r="CA152" s="3" t="str">
        <f t="shared" si="26"/>
        <v>Och-A</v>
      </c>
      <c r="CC152" s="3">
        <v>1.5</v>
      </c>
      <c r="CD152" t="s">
        <v>463</v>
      </c>
      <c r="CE152" s="21" t="str">
        <f t="shared" si="21"/>
        <v>OcA0103701D</v>
      </c>
      <c r="CF152" s="21" t="str">
        <f t="shared" si="27"/>
        <v>Och-ACat_037-Ex1-1D-lcwgs-2-1</v>
      </c>
      <c r="CG152" s="3">
        <f t="shared" si="28"/>
        <v>0.18600481194448501</v>
      </c>
      <c r="CH152">
        <v>3449936</v>
      </c>
      <c r="CI152">
        <v>2501912</v>
      </c>
      <c r="CJ152" s="27" t="s">
        <v>79</v>
      </c>
      <c r="CK152" s="3">
        <v>3.7000871980590773E-2</v>
      </c>
      <c r="CL152" t="s">
        <v>1198</v>
      </c>
      <c r="CM152" s="33" t="s">
        <v>1686</v>
      </c>
      <c r="CN152" s="3" t="str">
        <f t="shared" si="29"/>
        <v>Och-ACat_037-Ex1-1D-lcwgs-2-2</v>
      </c>
      <c r="CR152"/>
    </row>
    <row r="153" spans="1:96" x14ac:dyDescent="0.55000000000000004">
      <c r="A153" t="s">
        <v>238</v>
      </c>
      <c r="B153" t="s">
        <v>743</v>
      </c>
      <c r="C153" s="3">
        <v>2</v>
      </c>
      <c r="E153" t="s">
        <v>198</v>
      </c>
      <c r="F153">
        <v>2</v>
      </c>
      <c r="G153" t="s">
        <v>84</v>
      </c>
      <c r="H153">
        <v>4.5164143491854531</v>
      </c>
      <c r="I153" s="3" t="s">
        <v>74</v>
      </c>
      <c r="J153" s="3">
        <v>0.2</v>
      </c>
      <c r="K153" s="3">
        <v>7.25</v>
      </c>
      <c r="L153" s="3">
        <v>0.25</v>
      </c>
      <c r="O153" s="3">
        <v>200</v>
      </c>
      <c r="P153" s="3">
        <v>44.282916609737214</v>
      </c>
      <c r="R153" s="3">
        <v>10</v>
      </c>
      <c r="S153" s="4">
        <v>45141</v>
      </c>
      <c r="T153" s="3" t="s">
        <v>282</v>
      </c>
      <c r="U153" s="3" t="s">
        <v>412</v>
      </c>
      <c r="V153" s="11" t="s">
        <v>99</v>
      </c>
      <c r="W153" s="11">
        <v>4</v>
      </c>
      <c r="X153" s="11" t="s">
        <v>104</v>
      </c>
      <c r="Y153" s="11">
        <v>4</v>
      </c>
      <c r="Z153">
        <v>2</v>
      </c>
      <c r="AA153" t="s">
        <v>84</v>
      </c>
      <c r="AB153" t="s">
        <v>413</v>
      </c>
      <c r="AC153" s="3" t="s">
        <v>78</v>
      </c>
      <c r="AD153" s="3">
        <v>2</v>
      </c>
      <c r="AE153">
        <v>2</v>
      </c>
      <c r="AF153" t="s">
        <v>84</v>
      </c>
      <c r="AG153" t="s">
        <v>644</v>
      </c>
      <c r="AH153" s="17" t="s">
        <v>645</v>
      </c>
      <c r="AI153" t="s">
        <v>618</v>
      </c>
      <c r="AJ153" s="18" t="s">
        <v>619</v>
      </c>
      <c r="AO153" s="10">
        <v>0.290767</v>
      </c>
      <c r="AP153" s="3">
        <v>37</v>
      </c>
      <c r="AQ153" s="3">
        <f t="shared" si="23"/>
        <v>10.758379</v>
      </c>
      <c r="BE153" s="3" t="s">
        <v>79</v>
      </c>
      <c r="BF153" s="3" t="s">
        <v>415</v>
      </c>
      <c r="BG153" s="3" t="s">
        <v>186</v>
      </c>
      <c r="BH153" s="3" t="s">
        <v>186</v>
      </c>
      <c r="BI153" s="3" t="s">
        <v>186</v>
      </c>
      <c r="BJ153" s="3" t="s">
        <v>186</v>
      </c>
      <c r="BK153" s="3" t="s">
        <v>186</v>
      </c>
      <c r="BL153" s="3" t="s">
        <v>186</v>
      </c>
      <c r="BM153" s="3" t="s">
        <v>186</v>
      </c>
      <c r="BN153" s="3" t="s">
        <v>186</v>
      </c>
      <c r="BO153" s="3" t="s">
        <v>186</v>
      </c>
      <c r="BP153" s="3" t="s">
        <v>186</v>
      </c>
      <c r="BQ153" s="3" t="s">
        <v>186</v>
      </c>
      <c r="BR153" s="3" t="s">
        <v>186</v>
      </c>
      <c r="BS153" s="3" t="s">
        <v>186</v>
      </c>
      <c r="BT153" s="3" t="s">
        <v>186</v>
      </c>
      <c r="BU153" s="3" t="s">
        <v>186</v>
      </c>
      <c r="BV153" s="3" t="s">
        <v>186</v>
      </c>
      <c r="BW153" s="3" t="s">
        <v>186</v>
      </c>
      <c r="BX153" s="21" t="s">
        <v>417</v>
      </c>
      <c r="BY153" s="3" t="str">
        <f t="shared" si="24"/>
        <v>Och-A_RedoLibraries</v>
      </c>
      <c r="BZ153" s="3" t="str">
        <f t="shared" si="25"/>
        <v>D2</v>
      </c>
      <c r="CA153" s="3" t="str">
        <f t="shared" si="26"/>
        <v>Och-A</v>
      </c>
      <c r="CC153" s="3">
        <v>1.5</v>
      </c>
      <c r="CD153" t="s">
        <v>470</v>
      </c>
      <c r="CE153" s="21" t="str">
        <f t="shared" si="21"/>
        <v>OcA0103802D</v>
      </c>
      <c r="CF153" s="21" t="str">
        <f t="shared" si="27"/>
        <v>Och-ACat_038-Ex1-2D-lcwgs-2-1</v>
      </c>
      <c r="CG153" s="3">
        <f t="shared" si="28"/>
        <v>1.5</v>
      </c>
      <c r="CH153">
        <v>174192</v>
      </c>
      <c r="CI153">
        <v>136852</v>
      </c>
      <c r="CJ153" s="27" t="s">
        <v>79</v>
      </c>
      <c r="CK153" s="3">
        <v>5.7112436939031106</v>
      </c>
      <c r="CL153" t="s">
        <v>1198</v>
      </c>
      <c r="CM153" s="33" t="s">
        <v>1687</v>
      </c>
      <c r="CN153" s="3" t="str">
        <f t="shared" si="29"/>
        <v>Och-ACat_038-Ex1-2D-lcwgs-2-2</v>
      </c>
      <c r="CR153"/>
    </row>
    <row r="154" spans="1:96" x14ac:dyDescent="0.55000000000000004">
      <c r="A154" t="s">
        <v>239</v>
      </c>
      <c r="B154" t="s">
        <v>784</v>
      </c>
      <c r="C154" s="3">
        <v>2</v>
      </c>
      <c r="E154" t="s">
        <v>198</v>
      </c>
      <c r="F154">
        <v>3</v>
      </c>
      <c r="G154" t="s">
        <v>84</v>
      </c>
      <c r="H154">
        <v>6.1853957544841194</v>
      </c>
      <c r="I154" s="3" t="s">
        <v>74</v>
      </c>
      <c r="J154" s="3">
        <v>0.2</v>
      </c>
      <c r="K154" s="3">
        <v>7.25</v>
      </c>
      <c r="L154" s="3">
        <v>0.25</v>
      </c>
      <c r="O154" s="3">
        <v>200</v>
      </c>
      <c r="P154" s="3">
        <v>32.334228550373588</v>
      </c>
      <c r="R154" s="3">
        <v>10</v>
      </c>
      <c r="S154" s="4">
        <v>45141</v>
      </c>
      <c r="T154" s="3" t="s">
        <v>282</v>
      </c>
      <c r="U154" s="3" t="s">
        <v>412</v>
      </c>
      <c r="V154" s="11" t="s">
        <v>99</v>
      </c>
      <c r="W154" s="11">
        <v>6</v>
      </c>
      <c r="X154" s="11" t="s">
        <v>104</v>
      </c>
      <c r="Y154" s="11">
        <v>6</v>
      </c>
      <c r="Z154">
        <v>3</v>
      </c>
      <c r="AA154" t="s">
        <v>84</v>
      </c>
      <c r="AB154" t="s">
        <v>413</v>
      </c>
      <c r="AC154" s="3" t="s">
        <v>78</v>
      </c>
      <c r="AD154" s="3">
        <v>2</v>
      </c>
      <c r="AE154">
        <v>3</v>
      </c>
      <c r="AF154" t="s">
        <v>84</v>
      </c>
      <c r="AG154" t="s">
        <v>644</v>
      </c>
      <c r="AH154" s="17" t="s">
        <v>645</v>
      </c>
      <c r="AI154" t="s">
        <v>620</v>
      </c>
      <c r="AJ154" s="18" t="s">
        <v>621</v>
      </c>
      <c r="AO154" s="10">
        <v>0.42382599999999998</v>
      </c>
      <c r="AP154" s="3">
        <v>37</v>
      </c>
      <c r="AQ154" s="3">
        <f t="shared" si="23"/>
        <v>15.681562</v>
      </c>
      <c r="BE154" s="3" t="s">
        <v>79</v>
      </c>
      <c r="BF154" s="3" t="s">
        <v>415</v>
      </c>
      <c r="BG154" s="3" t="s">
        <v>186</v>
      </c>
      <c r="BH154" s="3" t="s">
        <v>186</v>
      </c>
      <c r="BI154" s="3" t="s">
        <v>186</v>
      </c>
      <c r="BJ154" s="3" t="s">
        <v>186</v>
      </c>
      <c r="BK154" s="3" t="s">
        <v>186</v>
      </c>
      <c r="BL154" s="3" t="s">
        <v>186</v>
      </c>
      <c r="BM154" s="3" t="s">
        <v>186</v>
      </c>
      <c r="BN154" s="3" t="s">
        <v>186</v>
      </c>
      <c r="BO154" s="3" t="s">
        <v>186</v>
      </c>
      <c r="BP154" s="3" t="s">
        <v>186</v>
      </c>
      <c r="BQ154" s="3" t="s">
        <v>186</v>
      </c>
      <c r="BR154" s="3" t="s">
        <v>186</v>
      </c>
      <c r="BS154" s="3" t="s">
        <v>186</v>
      </c>
      <c r="BT154" s="3" t="s">
        <v>186</v>
      </c>
      <c r="BU154" s="3" t="s">
        <v>186</v>
      </c>
      <c r="BV154" s="3" t="s">
        <v>186</v>
      </c>
      <c r="BW154" s="3" t="s">
        <v>186</v>
      </c>
      <c r="BX154" s="21" t="s">
        <v>417</v>
      </c>
      <c r="BY154" s="3" t="str">
        <f t="shared" si="24"/>
        <v>Och-A_RedoLibraries</v>
      </c>
      <c r="BZ154" s="3" t="str">
        <f t="shared" si="25"/>
        <v>D3</v>
      </c>
      <c r="CA154" s="3" t="str">
        <f t="shared" si="26"/>
        <v>Och-A</v>
      </c>
      <c r="CC154" s="3">
        <v>1.5</v>
      </c>
      <c r="CD154" t="s">
        <v>477</v>
      </c>
      <c r="CE154" s="21" t="str">
        <f t="shared" si="21"/>
        <v>OcA0103903D</v>
      </c>
      <c r="CF154" s="21" t="str">
        <f t="shared" si="27"/>
        <v>Och-ACat_039-Ex1-3D-lcwgs-2-1</v>
      </c>
      <c r="CG154" s="3">
        <f t="shared" si="28"/>
        <v>1.5</v>
      </c>
      <c r="CH154">
        <v>756946</v>
      </c>
      <c r="CI154">
        <v>533458</v>
      </c>
      <c r="CJ154" s="27" t="s">
        <v>79</v>
      </c>
      <c r="CK154" s="3">
        <v>1.4541276227614983</v>
      </c>
      <c r="CL154" t="s">
        <v>1198</v>
      </c>
      <c r="CM154" s="33" t="s">
        <v>1858</v>
      </c>
      <c r="CN154" s="3" t="str">
        <f t="shared" si="29"/>
        <v>Och-ACat_039-Ex1-3D-lcwgs-2-2</v>
      </c>
      <c r="CR154"/>
    </row>
    <row r="155" spans="1:96" x14ac:dyDescent="0.55000000000000004">
      <c r="A155" t="s">
        <v>239</v>
      </c>
      <c r="B155" t="s">
        <v>784</v>
      </c>
      <c r="C155" s="3">
        <v>1</v>
      </c>
      <c r="E155" t="s">
        <v>198</v>
      </c>
      <c r="F155">
        <v>3</v>
      </c>
      <c r="G155" t="s">
        <v>84</v>
      </c>
      <c r="H155" s="3">
        <v>6.1853957544841194</v>
      </c>
      <c r="I155" s="3" t="s">
        <v>74</v>
      </c>
      <c r="J155" s="3">
        <v>0.2</v>
      </c>
      <c r="K155" s="3">
        <v>7.25</v>
      </c>
      <c r="L155" s="3">
        <v>0.25</v>
      </c>
      <c r="O155" s="3">
        <v>100</v>
      </c>
      <c r="P155" s="3">
        <v>16.167114275186794</v>
      </c>
      <c r="R155" s="3">
        <v>10</v>
      </c>
      <c r="S155" s="4">
        <v>44945</v>
      </c>
      <c r="T155" s="3" t="s">
        <v>199</v>
      </c>
      <c r="U155" s="3" t="s">
        <v>200</v>
      </c>
      <c r="V155">
        <v>15</v>
      </c>
      <c r="W155" t="s">
        <v>73</v>
      </c>
      <c r="X155">
        <v>16</v>
      </c>
      <c r="Y155" t="s">
        <v>73</v>
      </c>
      <c r="Z155">
        <v>8</v>
      </c>
      <c r="AA155" t="s">
        <v>73</v>
      </c>
      <c r="AB155" t="s">
        <v>201</v>
      </c>
      <c r="AC155" s="3" t="s">
        <v>78</v>
      </c>
      <c r="AD155" s="3">
        <v>5</v>
      </c>
      <c r="AE155">
        <v>8</v>
      </c>
      <c r="AF155" t="s">
        <v>73</v>
      </c>
      <c r="AG155" t="s">
        <v>696</v>
      </c>
      <c r="AH155" s="17" t="s">
        <v>697</v>
      </c>
      <c r="AI155" t="s">
        <v>674</v>
      </c>
      <c r="AJ155" s="18" t="s">
        <v>675</v>
      </c>
      <c r="AO155" s="3">
        <v>0.193454333406225</v>
      </c>
      <c r="AP155" s="3">
        <v>37</v>
      </c>
      <c r="AQ155" s="3">
        <f t="shared" si="23"/>
        <v>7.1578103360303249</v>
      </c>
      <c r="BE155" s="3" t="s">
        <v>79</v>
      </c>
      <c r="BF155" s="3" t="s">
        <v>415</v>
      </c>
      <c r="BG155" s="3" t="s">
        <v>186</v>
      </c>
      <c r="BH155" s="3" t="s">
        <v>186</v>
      </c>
      <c r="BI155" s="3" t="s">
        <v>186</v>
      </c>
      <c r="BJ155" s="3" t="s">
        <v>186</v>
      </c>
      <c r="BK155" s="3" t="s">
        <v>186</v>
      </c>
      <c r="BL155" s="3" t="s">
        <v>186</v>
      </c>
      <c r="BM155" s="3" t="s">
        <v>186</v>
      </c>
      <c r="BN155" s="3" t="s">
        <v>186</v>
      </c>
      <c r="BO155" s="3" t="s">
        <v>186</v>
      </c>
      <c r="BP155" s="3" t="s">
        <v>186</v>
      </c>
      <c r="BQ155" s="3" t="s">
        <v>186</v>
      </c>
      <c r="BR155" s="3" t="s">
        <v>186</v>
      </c>
      <c r="BS155" s="3" t="s">
        <v>186</v>
      </c>
      <c r="BT155" s="3" t="s">
        <v>186</v>
      </c>
      <c r="BU155" s="3" t="s">
        <v>186</v>
      </c>
      <c r="BV155" s="3" t="s">
        <v>186</v>
      </c>
      <c r="BW155" s="3" t="s">
        <v>186</v>
      </c>
      <c r="BX155" s="21" t="s">
        <v>417</v>
      </c>
      <c r="BY155" s="3" t="str">
        <f t="shared" si="24"/>
        <v>PIRE-A_LibrariesforCapture_Jan2023-2</v>
      </c>
      <c r="BZ155" s="3" t="str">
        <f t="shared" si="25"/>
        <v>A8</v>
      </c>
      <c r="CA155" s="3" t="str">
        <f t="shared" si="26"/>
        <v>Och-A</v>
      </c>
      <c r="CC155" s="3">
        <v>1.5</v>
      </c>
      <c r="CD155" t="s">
        <v>477</v>
      </c>
      <c r="CE155" s="21" t="str">
        <f t="shared" si="21"/>
        <v>OcA0103908A</v>
      </c>
      <c r="CF155" s="21" t="str">
        <f t="shared" si="27"/>
        <v>Och-ACat_039-Ex1-8A-lcwgs-1-1</v>
      </c>
      <c r="CG155" s="3">
        <f t="shared" si="28"/>
        <v>1.5</v>
      </c>
      <c r="CH155">
        <v>11497</v>
      </c>
      <c r="CI155">
        <v>8433</v>
      </c>
      <c r="CJ155" s="27" t="s">
        <v>79</v>
      </c>
      <c r="CK155" s="3">
        <v>92.908662087331408</v>
      </c>
      <c r="CL155" t="s">
        <v>1198</v>
      </c>
      <c r="CM155" s="33" t="s">
        <v>1859</v>
      </c>
      <c r="CN155" s="3" t="str">
        <f t="shared" si="29"/>
        <v>Och-ACat_039-Ex1-8A-lcwgs-1-2</v>
      </c>
      <c r="CR155"/>
    </row>
    <row r="156" spans="1:96" x14ac:dyDescent="0.55000000000000004">
      <c r="A156" t="s">
        <v>240</v>
      </c>
      <c r="B156" t="s">
        <v>744</v>
      </c>
      <c r="C156" s="3">
        <v>2</v>
      </c>
      <c r="E156" t="s">
        <v>198</v>
      </c>
      <c r="F156">
        <v>4</v>
      </c>
      <c r="G156" t="s">
        <v>84</v>
      </c>
      <c r="H156">
        <v>4.7669656080302776</v>
      </c>
      <c r="I156" s="3" t="s">
        <v>74</v>
      </c>
      <c r="J156" s="3">
        <v>0.2</v>
      </c>
      <c r="K156" s="3">
        <v>7.25</v>
      </c>
      <c r="L156" s="3">
        <v>0.25</v>
      </c>
      <c r="O156" s="3">
        <v>200</v>
      </c>
      <c r="P156" s="3">
        <v>41.955410725658773</v>
      </c>
      <c r="R156" s="3">
        <v>10</v>
      </c>
      <c r="S156" s="4">
        <v>45141</v>
      </c>
      <c r="T156" s="3" t="s">
        <v>282</v>
      </c>
      <c r="U156" s="3" t="s">
        <v>412</v>
      </c>
      <c r="V156" s="11" t="s">
        <v>99</v>
      </c>
      <c r="W156" s="11">
        <v>8</v>
      </c>
      <c r="X156" s="11" t="s">
        <v>104</v>
      </c>
      <c r="Y156" s="11">
        <v>8</v>
      </c>
      <c r="Z156">
        <v>4</v>
      </c>
      <c r="AA156" t="s">
        <v>84</v>
      </c>
      <c r="AB156" t="s">
        <v>413</v>
      </c>
      <c r="AC156" s="3" t="s">
        <v>78</v>
      </c>
      <c r="AD156" s="3">
        <v>2</v>
      </c>
      <c r="AE156">
        <v>4</v>
      </c>
      <c r="AF156" t="s">
        <v>84</v>
      </c>
      <c r="AG156" t="s">
        <v>644</v>
      </c>
      <c r="AH156" s="17" t="s">
        <v>645</v>
      </c>
      <c r="AI156" t="s">
        <v>622</v>
      </c>
      <c r="AJ156" s="18" t="s">
        <v>623</v>
      </c>
      <c r="AO156" s="10">
        <v>1.388925</v>
      </c>
      <c r="AP156" s="3">
        <v>37</v>
      </c>
      <c r="AQ156" s="3">
        <f t="shared" si="23"/>
        <v>51.390225000000001</v>
      </c>
      <c r="BE156" s="3" t="s">
        <v>79</v>
      </c>
      <c r="BF156" s="3" t="s">
        <v>415</v>
      </c>
      <c r="BG156" s="3" t="s">
        <v>416</v>
      </c>
      <c r="BH156" s="3">
        <v>1</v>
      </c>
      <c r="BI156" s="3" t="str">
        <f t="shared" ref="BI156:BI187" si="30">AA156&amp;Z156</f>
        <v>D4</v>
      </c>
      <c r="BJ156" s="3">
        <v>1</v>
      </c>
      <c r="BK156" s="3" t="str">
        <f t="shared" ref="BK156:BK187" si="31">BR156&amp;BQ156</f>
        <v>D5</v>
      </c>
      <c r="BL156" s="10">
        <v>1.5</v>
      </c>
      <c r="BM156" s="3">
        <v>0.4</v>
      </c>
      <c r="BN156" s="3">
        <f t="shared" ref="BN156:BN187" si="32">AO156*BL156/BM156</f>
        <v>5.2084687499999989</v>
      </c>
      <c r="BO156" s="3">
        <f t="shared" ref="BO156:BO187" si="33">BN156-BL156</f>
        <v>3.7084687499999989</v>
      </c>
      <c r="BP156" s="3" t="s">
        <v>420</v>
      </c>
      <c r="BQ156">
        <v>5</v>
      </c>
      <c r="BR156" t="s">
        <v>84</v>
      </c>
      <c r="BS156" s="3">
        <v>1</v>
      </c>
      <c r="BT156" s="3" t="s">
        <v>418</v>
      </c>
      <c r="BU156" s="3">
        <v>1</v>
      </c>
      <c r="BV156" s="3" t="str">
        <f t="shared" ref="BV156:BV187" si="34">BR156&amp;BQ156</f>
        <v>D5</v>
      </c>
      <c r="BW156" s="3">
        <f t="shared" ref="BW156:BW187" si="35">BO156</f>
        <v>3.7084687499999989</v>
      </c>
      <c r="BX156" s="21" t="s">
        <v>417</v>
      </c>
      <c r="BY156" s="3" t="str">
        <f t="shared" si="24"/>
        <v>Och-Mixed_Dilution Plate</v>
      </c>
      <c r="BZ156" s="3" t="str">
        <f t="shared" si="25"/>
        <v>D5</v>
      </c>
      <c r="CA156" s="3" t="str">
        <f t="shared" si="26"/>
        <v>Och-A</v>
      </c>
      <c r="CC156" s="3">
        <v>1.5</v>
      </c>
      <c r="CD156" t="s">
        <v>484</v>
      </c>
      <c r="CE156" s="21" t="str">
        <f t="shared" si="21"/>
        <v>OcA0104004D</v>
      </c>
      <c r="CF156" s="21" t="str">
        <f t="shared" si="27"/>
        <v>Och-ACat_040-Ex1-4D-lcwgs-2-1</v>
      </c>
      <c r="CG156" s="3">
        <f t="shared" si="28"/>
        <v>0.43198876829202454</v>
      </c>
      <c r="CH156">
        <v>2965258</v>
      </c>
      <c r="CI156">
        <v>2266994</v>
      </c>
      <c r="CJ156" s="27" t="s">
        <v>79</v>
      </c>
      <c r="CK156" s="3">
        <v>9.5280276348730653E-2</v>
      </c>
      <c r="CL156" t="s">
        <v>1198</v>
      </c>
      <c r="CM156" s="33" t="s">
        <v>1688</v>
      </c>
      <c r="CN156" s="3" t="str">
        <f t="shared" si="29"/>
        <v>Och-ACat_040-Ex1-4D-lcwgs-2-2</v>
      </c>
      <c r="CR156"/>
    </row>
    <row r="157" spans="1:96" x14ac:dyDescent="0.55000000000000004">
      <c r="A157" t="s">
        <v>241</v>
      </c>
      <c r="B157" t="s">
        <v>745</v>
      </c>
      <c r="C157" s="3">
        <v>2</v>
      </c>
      <c r="E157" t="s">
        <v>198</v>
      </c>
      <c r="F157">
        <v>5</v>
      </c>
      <c r="G157" t="s">
        <v>84</v>
      </c>
      <c r="H157">
        <v>3.2168380779990127</v>
      </c>
      <c r="I157" s="3" t="s">
        <v>74</v>
      </c>
      <c r="J157" s="3">
        <v>0.2</v>
      </c>
      <c r="K157" s="3">
        <v>7.25</v>
      </c>
      <c r="L157" s="3">
        <v>0.25</v>
      </c>
      <c r="O157" s="3">
        <v>189.51542701991116</v>
      </c>
      <c r="P157" s="3">
        <v>58.913573647386215</v>
      </c>
      <c r="R157" s="3">
        <v>10</v>
      </c>
      <c r="S157" s="4">
        <v>45141</v>
      </c>
      <c r="T157" s="3" t="s">
        <v>282</v>
      </c>
      <c r="U157" s="3" t="s">
        <v>412</v>
      </c>
      <c r="V157" s="11" t="s">
        <v>99</v>
      </c>
      <c r="W157" s="11">
        <v>10</v>
      </c>
      <c r="X157" s="11" t="s">
        <v>104</v>
      </c>
      <c r="Y157" s="11">
        <v>10</v>
      </c>
      <c r="Z157">
        <v>5</v>
      </c>
      <c r="AA157" t="s">
        <v>84</v>
      </c>
      <c r="AB157" t="s">
        <v>413</v>
      </c>
      <c r="AC157" s="3" t="s">
        <v>78</v>
      </c>
      <c r="AD157" s="3">
        <v>2</v>
      </c>
      <c r="AE157">
        <v>5</v>
      </c>
      <c r="AF157" t="s">
        <v>84</v>
      </c>
      <c r="AG157" t="s">
        <v>644</v>
      </c>
      <c r="AH157" s="17" t="s">
        <v>645</v>
      </c>
      <c r="AI157" t="s">
        <v>624</v>
      </c>
      <c r="AJ157" s="18" t="s">
        <v>625</v>
      </c>
      <c r="AO157" s="10">
        <v>0.650895</v>
      </c>
      <c r="AP157" s="3">
        <v>37</v>
      </c>
      <c r="AQ157" s="3">
        <f t="shared" si="23"/>
        <v>24.083114999999999</v>
      </c>
      <c r="BE157" s="3" t="s">
        <v>79</v>
      </c>
      <c r="BF157" s="3" t="s">
        <v>415</v>
      </c>
      <c r="BG157" s="3" t="s">
        <v>416</v>
      </c>
      <c r="BH157" s="3">
        <v>1</v>
      </c>
      <c r="BI157" s="3" t="str">
        <f t="shared" si="30"/>
        <v>D5</v>
      </c>
      <c r="BJ157" s="3">
        <v>1</v>
      </c>
      <c r="BK157" s="3" t="str">
        <f t="shared" si="31"/>
        <v>A3</v>
      </c>
      <c r="BL157" s="10">
        <v>1.5</v>
      </c>
      <c r="BM157" s="3">
        <v>0.4</v>
      </c>
      <c r="BN157" s="3">
        <f t="shared" si="32"/>
        <v>2.4408562499999999</v>
      </c>
      <c r="BO157" s="3">
        <f t="shared" si="33"/>
        <v>0.94085624999999995</v>
      </c>
      <c r="BP157" s="3" t="s">
        <v>420</v>
      </c>
      <c r="BQ157">
        <v>3</v>
      </c>
      <c r="BR157" t="s">
        <v>73</v>
      </c>
      <c r="BS157" s="3">
        <v>1</v>
      </c>
      <c r="BT157" s="3" t="s">
        <v>418</v>
      </c>
      <c r="BU157" s="3">
        <v>1</v>
      </c>
      <c r="BV157" s="3" t="str">
        <f t="shared" si="34"/>
        <v>A3</v>
      </c>
      <c r="BW157" s="3">
        <f t="shared" si="35"/>
        <v>0.94085624999999995</v>
      </c>
      <c r="BX157" s="21" t="s">
        <v>417</v>
      </c>
      <c r="BY157" s="3" t="str">
        <f t="shared" si="24"/>
        <v>Och-Mixed_Dilution Plate</v>
      </c>
      <c r="BZ157" s="3" t="str">
        <f t="shared" si="25"/>
        <v>A3</v>
      </c>
      <c r="CA157" s="3" t="str">
        <f t="shared" si="26"/>
        <v>Och-A</v>
      </c>
      <c r="CC157" s="3">
        <v>1.5</v>
      </c>
      <c r="CD157" t="s">
        <v>491</v>
      </c>
      <c r="CE157" s="21" t="str">
        <f t="shared" si="21"/>
        <v>OcA0104105D</v>
      </c>
      <c r="CF157" s="21" t="str">
        <f t="shared" si="27"/>
        <v>Och-ACat_041-Ex1-5D-lcwgs-2-1</v>
      </c>
      <c r="CG157" s="3">
        <f t="shared" si="28"/>
        <v>0.92180766483073295</v>
      </c>
      <c r="CH157">
        <v>2986135</v>
      </c>
      <c r="CI157">
        <v>2299974</v>
      </c>
      <c r="CJ157" s="27" t="s">
        <v>79</v>
      </c>
      <c r="CK157" s="3">
        <v>0.20026964859865087</v>
      </c>
      <c r="CL157" t="s">
        <v>1198</v>
      </c>
      <c r="CM157" s="33" t="s">
        <v>1689</v>
      </c>
      <c r="CN157" s="3" t="str">
        <f t="shared" si="29"/>
        <v>Och-ACat_041-Ex1-5D-lcwgs-2-2</v>
      </c>
      <c r="CR157"/>
    </row>
    <row r="158" spans="1:96" x14ac:dyDescent="0.55000000000000004">
      <c r="A158" t="s">
        <v>279</v>
      </c>
      <c r="B158" t="s">
        <v>280</v>
      </c>
      <c r="C158" s="3">
        <v>1</v>
      </c>
      <c r="E158" t="s">
        <v>281</v>
      </c>
      <c r="F158">
        <v>1</v>
      </c>
      <c r="G158" t="s">
        <v>73</v>
      </c>
      <c r="H158">
        <v>7.6815660083586002</v>
      </c>
      <c r="I158" s="3" t="s">
        <v>74</v>
      </c>
      <c r="J158" s="3">
        <v>0.1</v>
      </c>
      <c r="K158" s="3">
        <v>7.25</v>
      </c>
      <c r="L158" s="3">
        <v>0.33</v>
      </c>
      <c r="O158" s="3">
        <v>100</v>
      </c>
      <c r="P158" s="3">
        <v>13.01817883113759</v>
      </c>
      <c r="R158" s="3">
        <v>10</v>
      </c>
      <c r="S158" s="4">
        <v>45058</v>
      </c>
      <c r="T158" s="3" t="s">
        <v>282</v>
      </c>
      <c r="U158" s="3" t="s">
        <v>283</v>
      </c>
      <c r="V158" s="11" t="s">
        <v>73</v>
      </c>
      <c r="W158" s="11">
        <v>1</v>
      </c>
      <c r="X158" s="11" t="s">
        <v>87</v>
      </c>
      <c r="Y158" s="11">
        <v>1</v>
      </c>
      <c r="Z158">
        <v>1</v>
      </c>
      <c r="AA158" t="s">
        <v>73</v>
      </c>
      <c r="AB158" t="s">
        <v>284</v>
      </c>
      <c r="AC158" s="3" t="s">
        <v>78</v>
      </c>
      <c r="AD158" s="3">
        <v>6</v>
      </c>
      <c r="AE158">
        <v>1</v>
      </c>
      <c r="AF158" t="s">
        <v>73</v>
      </c>
      <c r="AG158" t="s">
        <v>614</v>
      </c>
      <c r="AH158" s="17" t="s">
        <v>615</v>
      </c>
      <c r="AI158" t="s">
        <v>704</v>
      </c>
      <c r="AJ158" s="18" t="s">
        <v>705</v>
      </c>
      <c r="AO158" s="10">
        <v>10.78458</v>
      </c>
      <c r="AP158" s="3">
        <v>37</v>
      </c>
      <c r="AQ158" s="3">
        <f t="shared" si="23"/>
        <v>399.02946000000003</v>
      </c>
      <c r="BE158" s="3" t="s">
        <v>79</v>
      </c>
      <c r="BF158" s="3" t="s">
        <v>80</v>
      </c>
      <c r="BG158" s="3" t="s">
        <v>416</v>
      </c>
      <c r="BH158" s="3">
        <f t="shared" ref="BH158:BH189" si="36">IF(AB158="PIRE-C_LibrariesforCapture_Jan2023-2",2,3)</f>
        <v>3</v>
      </c>
      <c r="BI158" s="3" t="str">
        <f t="shared" si="30"/>
        <v>A1</v>
      </c>
      <c r="BJ158" s="3">
        <v>97</v>
      </c>
      <c r="BK158" s="3" t="str">
        <f t="shared" si="31"/>
        <v>H12</v>
      </c>
      <c r="BL158" s="3">
        <v>1.5</v>
      </c>
      <c r="BM158" s="3">
        <v>1.5</v>
      </c>
      <c r="BN158" s="3">
        <f t="shared" si="32"/>
        <v>10.78458</v>
      </c>
      <c r="BO158" s="3">
        <f t="shared" si="33"/>
        <v>9.2845800000000001</v>
      </c>
      <c r="BP158" s="3" t="s">
        <v>419</v>
      </c>
      <c r="BQ158">
        <v>12</v>
      </c>
      <c r="BR158" t="s">
        <v>92</v>
      </c>
      <c r="BS158" s="3">
        <v>1</v>
      </c>
      <c r="BT158" s="3" t="s">
        <v>418</v>
      </c>
      <c r="BU158" s="3">
        <v>2</v>
      </c>
      <c r="BV158" s="3" t="str">
        <f t="shared" si="34"/>
        <v>H12</v>
      </c>
      <c r="BW158" s="3">
        <f t="shared" si="35"/>
        <v>9.2845800000000001</v>
      </c>
      <c r="BX158" s="21" t="s">
        <v>417</v>
      </c>
      <c r="BY158" s="3" t="str">
        <f t="shared" si="24"/>
        <v>Och-C_DilutionPlate</v>
      </c>
      <c r="BZ158" s="3" t="str">
        <f t="shared" si="25"/>
        <v>H12</v>
      </c>
      <c r="CA158" s="3" t="str">
        <f t="shared" si="26"/>
        <v>Och-C</v>
      </c>
      <c r="CC158" s="3">
        <v>1.5</v>
      </c>
      <c r="CD158" t="s">
        <v>551</v>
      </c>
      <c r="CE158" s="21" t="str">
        <f t="shared" si="21"/>
        <v>OcC0200101A</v>
      </c>
      <c r="CF158" s="21" t="str">
        <f t="shared" si="27"/>
        <v>Och-CCat_001-Ex1-1A-lcwgs-1-1</v>
      </c>
      <c r="CG158" s="3">
        <f t="shared" si="28"/>
        <v>0.20863121234206619</v>
      </c>
      <c r="CH158">
        <v>2783090</v>
      </c>
      <c r="CI158">
        <v>2259873</v>
      </c>
      <c r="CJ158" t="s">
        <v>79</v>
      </c>
      <c r="CK158" s="3">
        <v>5.6860382646991052</v>
      </c>
      <c r="CL158" t="s">
        <v>1201</v>
      </c>
      <c r="CM158" s="33" t="s">
        <v>1762</v>
      </c>
      <c r="CN158" s="3" t="str">
        <f t="shared" si="29"/>
        <v>Och-CCat_001-Ex1-1A-lcwgs-1-2</v>
      </c>
      <c r="CR158"/>
    </row>
    <row r="159" spans="1:96" x14ac:dyDescent="0.55000000000000004">
      <c r="A159" t="s">
        <v>285</v>
      </c>
      <c r="B159" t="s">
        <v>286</v>
      </c>
      <c r="C159" s="3">
        <v>1</v>
      </c>
      <c r="E159" t="s">
        <v>281</v>
      </c>
      <c r="F159">
        <v>2</v>
      </c>
      <c r="G159" t="s">
        <v>73</v>
      </c>
      <c r="H159">
        <v>4.4423379496845037</v>
      </c>
      <c r="I159" s="3" t="s">
        <v>74</v>
      </c>
      <c r="J159" s="3">
        <v>0.1</v>
      </c>
      <c r="K159" s="3">
        <v>7.25</v>
      </c>
      <c r="L159" s="3">
        <v>0.33</v>
      </c>
      <c r="O159" s="3">
        <v>100</v>
      </c>
      <c r="P159" s="3">
        <v>22.510669186503929</v>
      </c>
      <c r="R159" s="3">
        <v>10</v>
      </c>
      <c r="S159" s="4">
        <v>45058</v>
      </c>
      <c r="T159" s="3" t="s">
        <v>282</v>
      </c>
      <c r="U159" s="3" t="s">
        <v>283</v>
      </c>
      <c r="V159" s="11" t="s">
        <v>73</v>
      </c>
      <c r="W159" s="11">
        <v>2</v>
      </c>
      <c r="X159" s="11" t="s">
        <v>87</v>
      </c>
      <c r="Y159" s="11">
        <v>2</v>
      </c>
      <c r="Z159">
        <v>1</v>
      </c>
      <c r="AA159" t="s">
        <v>76</v>
      </c>
      <c r="AB159" t="s">
        <v>284</v>
      </c>
      <c r="AC159" s="3" t="s">
        <v>78</v>
      </c>
      <c r="AD159" s="3">
        <v>6</v>
      </c>
      <c r="AE159">
        <v>1</v>
      </c>
      <c r="AF159" t="s">
        <v>76</v>
      </c>
      <c r="AG159" t="s">
        <v>640</v>
      </c>
      <c r="AH159" s="17" t="s">
        <v>641</v>
      </c>
      <c r="AI159" t="s">
        <v>704</v>
      </c>
      <c r="AJ159" s="18" t="s">
        <v>705</v>
      </c>
      <c r="AO159" s="10">
        <v>3.7086030000000001</v>
      </c>
      <c r="AP159" s="3">
        <v>37</v>
      </c>
      <c r="AQ159" s="3">
        <f t="shared" si="23"/>
        <v>137.218311</v>
      </c>
      <c r="BE159" s="3" t="s">
        <v>79</v>
      </c>
      <c r="BF159" s="3" t="s">
        <v>80</v>
      </c>
      <c r="BG159" s="3" t="s">
        <v>416</v>
      </c>
      <c r="BH159" s="3">
        <f t="shared" si="36"/>
        <v>3</v>
      </c>
      <c r="BI159" s="3" t="str">
        <f t="shared" si="30"/>
        <v>B1</v>
      </c>
      <c r="BJ159" s="3">
        <v>29</v>
      </c>
      <c r="BK159" s="3" t="str">
        <f t="shared" si="31"/>
        <v>D4</v>
      </c>
      <c r="BL159" s="3">
        <v>1.5</v>
      </c>
      <c r="BM159" s="3">
        <v>1.5</v>
      </c>
      <c r="BN159" s="3">
        <f t="shared" si="32"/>
        <v>3.7086030000000001</v>
      </c>
      <c r="BO159" s="3">
        <f t="shared" si="33"/>
        <v>2.2086030000000001</v>
      </c>
      <c r="BP159" s="3" t="s">
        <v>419</v>
      </c>
      <c r="BQ159">
        <v>4</v>
      </c>
      <c r="BR159" t="s">
        <v>84</v>
      </c>
      <c r="BS159" s="3">
        <v>1</v>
      </c>
      <c r="BT159" s="3" t="s">
        <v>418</v>
      </c>
      <c r="BU159" s="3">
        <v>2</v>
      </c>
      <c r="BV159" s="3" t="str">
        <f t="shared" si="34"/>
        <v>D4</v>
      </c>
      <c r="BW159" s="3">
        <f t="shared" si="35"/>
        <v>2.2086030000000001</v>
      </c>
      <c r="BX159" s="21" t="s">
        <v>417</v>
      </c>
      <c r="BY159" s="3" t="str">
        <f t="shared" si="24"/>
        <v>Och-C_DilutionPlate</v>
      </c>
      <c r="BZ159" s="3" t="str">
        <f t="shared" si="25"/>
        <v>D4</v>
      </c>
      <c r="CA159" s="3" t="str">
        <f t="shared" si="26"/>
        <v>Och-C</v>
      </c>
      <c r="CC159" s="3">
        <v>1.5</v>
      </c>
      <c r="CD159" t="s">
        <v>552</v>
      </c>
      <c r="CE159" s="21" t="str">
        <f t="shared" si="21"/>
        <v>OcC0200201B</v>
      </c>
      <c r="CF159" s="21" t="str">
        <f t="shared" si="27"/>
        <v>Och-CCat_002-Ex1-1B-lcwgs-1-1</v>
      </c>
      <c r="CG159" s="3">
        <f t="shared" si="28"/>
        <v>0.60669745454015978</v>
      </c>
      <c r="CH159">
        <v>3193541</v>
      </c>
      <c r="CI159">
        <v>2567193</v>
      </c>
      <c r="CJ159" t="s">
        <v>79</v>
      </c>
      <c r="CK159" s="3">
        <v>14.436589943852326</v>
      </c>
      <c r="CL159" t="s">
        <v>1201</v>
      </c>
      <c r="CM159" s="33" t="s">
        <v>1763</v>
      </c>
      <c r="CN159" s="3" t="str">
        <f t="shared" si="29"/>
        <v>Och-CCat_002-Ex1-1B-lcwgs-1-2</v>
      </c>
      <c r="CR159"/>
    </row>
    <row r="160" spans="1:96" x14ac:dyDescent="0.55000000000000004">
      <c r="A160" t="s">
        <v>287</v>
      </c>
      <c r="B160" t="s">
        <v>288</v>
      </c>
      <c r="C160" s="3">
        <v>1</v>
      </c>
      <c r="E160" t="s">
        <v>281</v>
      </c>
      <c r="F160">
        <v>3</v>
      </c>
      <c r="G160" t="s">
        <v>73</v>
      </c>
      <c r="H160">
        <v>3.2030484307137588</v>
      </c>
      <c r="I160" s="3" t="s">
        <v>74</v>
      </c>
      <c r="J160" s="3">
        <v>0.1</v>
      </c>
      <c r="K160" s="3">
        <v>7.25</v>
      </c>
      <c r="L160" s="3">
        <v>0.33</v>
      </c>
      <c r="O160" s="3">
        <v>100</v>
      </c>
      <c r="P160" s="3">
        <v>31.220258501591331</v>
      </c>
      <c r="R160" s="3">
        <v>10</v>
      </c>
      <c r="S160" s="4">
        <v>45058</v>
      </c>
      <c r="T160" s="3" t="s">
        <v>282</v>
      </c>
      <c r="U160" s="3" t="s">
        <v>283</v>
      </c>
      <c r="V160" s="11" t="s">
        <v>76</v>
      </c>
      <c r="W160" s="11">
        <v>1</v>
      </c>
      <c r="X160" s="11" t="s">
        <v>88</v>
      </c>
      <c r="Y160" s="11">
        <v>1</v>
      </c>
      <c r="Z160">
        <v>1</v>
      </c>
      <c r="AA160" t="s">
        <v>83</v>
      </c>
      <c r="AB160" t="s">
        <v>284</v>
      </c>
      <c r="AC160" s="3" t="s">
        <v>78</v>
      </c>
      <c r="AD160" s="3">
        <v>6</v>
      </c>
      <c r="AE160">
        <v>1</v>
      </c>
      <c r="AF160" t="s">
        <v>83</v>
      </c>
      <c r="AG160" t="s">
        <v>642</v>
      </c>
      <c r="AH160" s="17" t="s">
        <v>643</v>
      </c>
      <c r="AI160" t="s">
        <v>704</v>
      </c>
      <c r="AJ160" s="18" t="s">
        <v>705</v>
      </c>
      <c r="AO160" s="10">
        <v>5.3757929999999998</v>
      </c>
      <c r="AP160" s="3">
        <v>37</v>
      </c>
      <c r="AQ160" s="3">
        <f t="shared" si="23"/>
        <v>198.90434099999999</v>
      </c>
      <c r="BE160" s="3" t="s">
        <v>79</v>
      </c>
      <c r="BF160" s="3" t="s">
        <v>80</v>
      </c>
      <c r="BG160" s="3" t="s">
        <v>416</v>
      </c>
      <c r="BH160" s="3">
        <f t="shared" si="36"/>
        <v>3</v>
      </c>
      <c r="BI160" s="3" t="str">
        <f t="shared" si="30"/>
        <v>C1</v>
      </c>
      <c r="BJ160" s="3">
        <v>73</v>
      </c>
      <c r="BK160" s="3" t="str">
        <f t="shared" si="31"/>
        <v>H9</v>
      </c>
      <c r="BL160" s="3">
        <v>1.5</v>
      </c>
      <c r="BM160" s="3">
        <v>1.5</v>
      </c>
      <c r="BN160" s="3">
        <f t="shared" si="32"/>
        <v>5.3757929999999989</v>
      </c>
      <c r="BO160" s="3">
        <f t="shared" si="33"/>
        <v>3.8757929999999989</v>
      </c>
      <c r="BP160" s="3" t="s">
        <v>419</v>
      </c>
      <c r="BQ160">
        <v>9</v>
      </c>
      <c r="BR160" t="s">
        <v>92</v>
      </c>
      <c r="BS160" s="3">
        <v>1</v>
      </c>
      <c r="BT160" s="3" t="s">
        <v>418</v>
      </c>
      <c r="BU160" s="3">
        <v>2</v>
      </c>
      <c r="BV160" s="3" t="str">
        <f t="shared" si="34"/>
        <v>H9</v>
      </c>
      <c r="BW160" s="3">
        <f t="shared" si="35"/>
        <v>3.8757929999999989</v>
      </c>
      <c r="BX160" s="21" t="s">
        <v>417</v>
      </c>
      <c r="BY160" s="3" t="str">
        <f t="shared" si="24"/>
        <v>Och-C_DilutionPlate</v>
      </c>
      <c r="BZ160" s="3" t="str">
        <f t="shared" si="25"/>
        <v>H9</v>
      </c>
      <c r="CA160" s="3" t="str">
        <f t="shared" si="26"/>
        <v>Och-C</v>
      </c>
      <c r="CC160" s="3">
        <v>1.5</v>
      </c>
      <c r="CD160" t="s">
        <v>553</v>
      </c>
      <c r="CE160" s="21" t="str">
        <f t="shared" si="21"/>
        <v>OcC0200301C</v>
      </c>
      <c r="CF160" s="21" t="str">
        <f t="shared" si="27"/>
        <v>Och-CCat_003-Ex1-1C-lcwgs-1-1</v>
      </c>
      <c r="CG160" s="3">
        <f t="shared" si="28"/>
        <v>0.41854290148448803</v>
      </c>
      <c r="CH160">
        <v>2761580</v>
      </c>
      <c r="CI160">
        <v>2244408</v>
      </c>
      <c r="CJ160" t="s">
        <v>79</v>
      </c>
      <c r="CK160" s="3">
        <v>11.490297092575169</v>
      </c>
      <c r="CL160" t="s">
        <v>1201</v>
      </c>
      <c r="CM160" s="33" t="s">
        <v>1764</v>
      </c>
      <c r="CN160" s="3" t="str">
        <f t="shared" si="29"/>
        <v>Och-CCat_003-Ex1-1C-lcwgs-1-2</v>
      </c>
      <c r="CR160"/>
    </row>
    <row r="161" spans="1:96" x14ac:dyDescent="0.55000000000000004">
      <c r="A161" t="s">
        <v>289</v>
      </c>
      <c r="B161" t="s">
        <v>290</v>
      </c>
      <c r="C161" s="3">
        <v>1</v>
      </c>
      <c r="E161" t="s">
        <v>281</v>
      </c>
      <c r="F161">
        <v>4</v>
      </c>
      <c r="G161" t="s">
        <v>73</v>
      </c>
      <c r="H161">
        <v>3.0268540522822258</v>
      </c>
      <c r="I161" s="3" t="s">
        <v>74</v>
      </c>
      <c r="J161" s="3">
        <v>0.1</v>
      </c>
      <c r="K161" s="3">
        <v>7.25</v>
      </c>
      <c r="L161" s="3">
        <v>0.33</v>
      </c>
      <c r="O161" s="3">
        <v>100</v>
      </c>
      <c r="P161" s="3">
        <v>33.037602168033416</v>
      </c>
      <c r="R161" s="3">
        <v>10</v>
      </c>
      <c r="S161" s="4">
        <v>45058</v>
      </c>
      <c r="T161" s="3" t="s">
        <v>282</v>
      </c>
      <c r="U161" s="3" t="s">
        <v>283</v>
      </c>
      <c r="V161" s="11" t="s">
        <v>76</v>
      </c>
      <c r="W161" s="11">
        <v>2</v>
      </c>
      <c r="X161" s="11" t="s">
        <v>88</v>
      </c>
      <c r="Y161" s="11">
        <v>2</v>
      </c>
      <c r="Z161">
        <v>1</v>
      </c>
      <c r="AA161" t="s">
        <v>84</v>
      </c>
      <c r="AB161" t="s">
        <v>284</v>
      </c>
      <c r="AC161" s="3" t="s">
        <v>78</v>
      </c>
      <c r="AD161" s="3">
        <v>6</v>
      </c>
      <c r="AE161">
        <v>1</v>
      </c>
      <c r="AF161" t="s">
        <v>84</v>
      </c>
      <c r="AG161" t="s">
        <v>644</v>
      </c>
      <c r="AH161" s="17" t="s">
        <v>645</v>
      </c>
      <c r="AI161" t="s">
        <v>704</v>
      </c>
      <c r="AJ161" s="18" t="s">
        <v>705</v>
      </c>
      <c r="AO161" s="10">
        <v>4.5150790000000001</v>
      </c>
      <c r="AP161" s="3">
        <v>37</v>
      </c>
      <c r="AQ161" s="3">
        <f t="shared" si="23"/>
        <v>167.05792300000002</v>
      </c>
      <c r="BE161" s="3" t="s">
        <v>79</v>
      </c>
      <c r="BF161" s="3" t="s">
        <v>80</v>
      </c>
      <c r="BG161" s="3" t="s">
        <v>416</v>
      </c>
      <c r="BH161" s="3">
        <f t="shared" si="36"/>
        <v>3</v>
      </c>
      <c r="BI161" s="3" t="str">
        <f t="shared" si="30"/>
        <v>D1</v>
      </c>
      <c r="BJ161" s="3">
        <v>58</v>
      </c>
      <c r="BK161" s="3" t="str">
        <f t="shared" si="31"/>
        <v>A8</v>
      </c>
      <c r="BL161" s="3">
        <v>1.5</v>
      </c>
      <c r="BM161" s="3">
        <v>1.5</v>
      </c>
      <c r="BN161" s="3">
        <f t="shared" si="32"/>
        <v>4.5150790000000001</v>
      </c>
      <c r="BO161" s="3">
        <f t="shared" si="33"/>
        <v>3.0150790000000001</v>
      </c>
      <c r="BP161" s="3" t="s">
        <v>419</v>
      </c>
      <c r="BQ161">
        <v>8</v>
      </c>
      <c r="BR161" t="s">
        <v>73</v>
      </c>
      <c r="BS161" s="3">
        <v>1</v>
      </c>
      <c r="BT161" s="3" t="s">
        <v>418</v>
      </c>
      <c r="BU161" s="3">
        <v>2</v>
      </c>
      <c r="BV161" s="3" t="str">
        <f t="shared" si="34"/>
        <v>A8</v>
      </c>
      <c r="BW161" s="3">
        <f t="shared" si="35"/>
        <v>3.0150790000000001</v>
      </c>
      <c r="BX161" s="21" t="s">
        <v>417</v>
      </c>
      <c r="BY161" s="3" t="str">
        <f t="shared" si="24"/>
        <v>Och-C_DilutionPlate</v>
      </c>
      <c r="BZ161" s="3" t="str">
        <f t="shared" si="25"/>
        <v>A8</v>
      </c>
      <c r="CA161" s="3" t="str">
        <f t="shared" si="26"/>
        <v>Och-C</v>
      </c>
      <c r="CC161" s="3">
        <v>1.5</v>
      </c>
      <c r="CD161" t="s">
        <v>554</v>
      </c>
      <c r="CE161" s="21" t="str">
        <f t="shared" si="21"/>
        <v>OcC0200401D</v>
      </c>
      <c r="CF161" s="21" t="str">
        <f t="shared" si="27"/>
        <v>Och-CCat_004-Ex1-1D-lcwgs-1-1</v>
      </c>
      <c r="CG161" s="3">
        <f t="shared" si="28"/>
        <v>0.49833015103390216</v>
      </c>
      <c r="CH161">
        <v>2448079</v>
      </c>
      <c r="CI161">
        <v>1955742</v>
      </c>
      <c r="CJ161" t="s">
        <v>79</v>
      </c>
      <c r="CK161" s="3">
        <v>15.820425528028043</v>
      </c>
      <c r="CL161" t="s">
        <v>1201</v>
      </c>
      <c r="CM161" s="33" t="s">
        <v>1765</v>
      </c>
      <c r="CN161" s="3" t="str">
        <f t="shared" si="29"/>
        <v>Och-CCat_004-Ex1-1D-lcwgs-1-2</v>
      </c>
      <c r="CR161"/>
    </row>
    <row r="162" spans="1:96" x14ac:dyDescent="0.55000000000000004">
      <c r="A162" t="s">
        <v>291</v>
      </c>
      <c r="B162" t="s">
        <v>292</v>
      </c>
      <c r="C162" s="3">
        <v>1</v>
      </c>
      <c r="E162" t="s">
        <v>281</v>
      </c>
      <c r="F162">
        <v>5</v>
      </c>
      <c r="G162" t="s">
        <v>73</v>
      </c>
      <c r="H162">
        <v>3.5941571744652956</v>
      </c>
      <c r="I162" s="3" t="s">
        <v>74</v>
      </c>
      <c r="J162" s="3">
        <v>0.1</v>
      </c>
      <c r="K162" s="3">
        <v>7.25</v>
      </c>
      <c r="L162" s="3">
        <v>0.33</v>
      </c>
      <c r="O162" s="3">
        <v>100</v>
      </c>
      <c r="P162" s="3">
        <v>27.822934597977632</v>
      </c>
      <c r="R162" s="3">
        <v>10</v>
      </c>
      <c r="S162" s="4">
        <v>45058</v>
      </c>
      <c r="T162" s="3" t="s">
        <v>282</v>
      </c>
      <c r="U162" s="3" t="s">
        <v>283</v>
      </c>
      <c r="V162" s="11" t="s">
        <v>83</v>
      </c>
      <c r="W162" s="11">
        <v>1</v>
      </c>
      <c r="X162" s="11" t="s">
        <v>91</v>
      </c>
      <c r="Y162" s="11">
        <v>1</v>
      </c>
      <c r="Z162">
        <v>1</v>
      </c>
      <c r="AA162" t="s">
        <v>87</v>
      </c>
      <c r="AB162" t="s">
        <v>284</v>
      </c>
      <c r="AC162" s="3" t="s">
        <v>78</v>
      </c>
      <c r="AD162" s="3">
        <v>6</v>
      </c>
      <c r="AE162">
        <v>1</v>
      </c>
      <c r="AF162" t="s">
        <v>87</v>
      </c>
      <c r="AG162" t="s">
        <v>646</v>
      </c>
      <c r="AH162" s="17" t="s">
        <v>647</v>
      </c>
      <c r="AI162" t="s">
        <v>704</v>
      </c>
      <c r="AJ162" s="18" t="s">
        <v>705</v>
      </c>
      <c r="AO162" s="10">
        <v>3.982405</v>
      </c>
      <c r="AP162" s="3">
        <v>37</v>
      </c>
      <c r="AQ162" s="3">
        <f t="shared" si="23"/>
        <v>147.348985</v>
      </c>
      <c r="BE162" s="3" t="s">
        <v>79</v>
      </c>
      <c r="BF162" s="3" t="s">
        <v>80</v>
      </c>
      <c r="BG162" s="3" t="s">
        <v>416</v>
      </c>
      <c r="BH162" s="3">
        <f t="shared" si="36"/>
        <v>3</v>
      </c>
      <c r="BI162" s="3" t="str">
        <f t="shared" si="30"/>
        <v>E1</v>
      </c>
      <c r="BJ162" s="3">
        <v>42</v>
      </c>
      <c r="BK162" s="3" t="str">
        <f t="shared" si="31"/>
        <v>A6</v>
      </c>
      <c r="BL162" s="3">
        <v>1.5</v>
      </c>
      <c r="BM162" s="3">
        <v>1.5</v>
      </c>
      <c r="BN162" s="3">
        <f t="shared" si="32"/>
        <v>3.982405</v>
      </c>
      <c r="BO162" s="3">
        <f t="shared" si="33"/>
        <v>2.482405</v>
      </c>
      <c r="BP162" s="3" t="s">
        <v>419</v>
      </c>
      <c r="BQ162">
        <v>6</v>
      </c>
      <c r="BR162" t="s">
        <v>73</v>
      </c>
      <c r="BS162" s="3">
        <v>1</v>
      </c>
      <c r="BT162" s="3" t="s">
        <v>418</v>
      </c>
      <c r="BU162" s="3">
        <v>2</v>
      </c>
      <c r="BV162" s="3" t="str">
        <f t="shared" si="34"/>
        <v>A6</v>
      </c>
      <c r="BW162" s="3">
        <f t="shared" si="35"/>
        <v>2.482405</v>
      </c>
      <c r="BX162" s="21" t="s">
        <v>417</v>
      </c>
      <c r="BY162" s="3" t="str">
        <f t="shared" si="24"/>
        <v>Och-C_DilutionPlate</v>
      </c>
      <c r="BZ162" s="3" t="str">
        <f t="shared" si="25"/>
        <v>A6</v>
      </c>
      <c r="CA162" s="3" t="str">
        <f t="shared" si="26"/>
        <v>Och-C</v>
      </c>
      <c r="CC162" s="3">
        <v>1.5</v>
      </c>
      <c r="CD162" t="s">
        <v>555</v>
      </c>
      <c r="CE162" s="21" t="str">
        <f t="shared" si="21"/>
        <v>OcC0200501E</v>
      </c>
      <c r="CF162" s="21" t="str">
        <f t="shared" si="27"/>
        <v>Och-CCat_005-Ex1-1E-lcwgs-1-1</v>
      </c>
      <c r="CG162" s="3">
        <f t="shared" si="28"/>
        <v>0.56498522877507429</v>
      </c>
      <c r="CH162">
        <v>2861742</v>
      </c>
      <c r="CI162">
        <v>2269534</v>
      </c>
      <c r="CJ162" t="s">
        <v>79</v>
      </c>
      <c r="CK162" s="3">
        <v>15.328630261283568</v>
      </c>
      <c r="CL162" t="s">
        <v>1201</v>
      </c>
      <c r="CM162" s="33" t="s">
        <v>1766</v>
      </c>
      <c r="CN162" s="3" t="str">
        <f t="shared" si="29"/>
        <v>Och-CCat_005-Ex1-1E-lcwgs-1-2</v>
      </c>
      <c r="CR162"/>
    </row>
    <row r="163" spans="1:96" x14ac:dyDescent="0.55000000000000004">
      <c r="A163" t="s">
        <v>293</v>
      </c>
      <c r="B163" t="s">
        <v>294</v>
      </c>
      <c r="C163" s="3">
        <v>1</v>
      </c>
      <c r="E163" t="s">
        <v>281</v>
      </c>
      <c r="F163">
        <v>6</v>
      </c>
      <c r="G163" t="s">
        <v>73</v>
      </c>
      <c r="H163">
        <v>5.700643284438252</v>
      </c>
      <c r="I163" s="3" t="s">
        <v>74</v>
      </c>
      <c r="J163" s="3">
        <v>0.1</v>
      </c>
      <c r="K163" s="3">
        <v>7.25</v>
      </c>
      <c r="L163" s="3">
        <v>0.33</v>
      </c>
      <c r="O163" s="3">
        <v>100</v>
      </c>
      <c r="P163" s="3">
        <v>17.54187992660097</v>
      </c>
      <c r="R163" s="3">
        <v>10</v>
      </c>
      <c r="S163" s="4">
        <v>45058</v>
      </c>
      <c r="T163" s="3" t="s">
        <v>282</v>
      </c>
      <c r="U163" s="3" t="s">
        <v>283</v>
      </c>
      <c r="V163" s="11" t="s">
        <v>83</v>
      </c>
      <c r="W163" s="11">
        <v>2</v>
      </c>
      <c r="X163" s="11" t="s">
        <v>91</v>
      </c>
      <c r="Y163" s="11">
        <v>2</v>
      </c>
      <c r="Z163">
        <v>1</v>
      </c>
      <c r="AA163" t="s">
        <v>88</v>
      </c>
      <c r="AB163" t="s">
        <v>284</v>
      </c>
      <c r="AC163" s="3" t="s">
        <v>78</v>
      </c>
      <c r="AD163" s="3">
        <v>6</v>
      </c>
      <c r="AE163">
        <v>1</v>
      </c>
      <c r="AF163" t="s">
        <v>88</v>
      </c>
      <c r="AG163" t="s">
        <v>648</v>
      </c>
      <c r="AH163" s="17" t="s">
        <v>649</v>
      </c>
      <c r="AI163" t="s">
        <v>704</v>
      </c>
      <c r="AJ163" s="18" t="s">
        <v>705</v>
      </c>
      <c r="AO163" s="10">
        <v>6.1183449999999997</v>
      </c>
      <c r="AP163" s="3">
        <v>37</v>
      </c>
      <c r="AQ163" s="3">
        <f t="shared" si="23"/>
        <v>226.37876499999999</v>
      </c>
      <c r="BE163" s="3" t="s">
        <v>79</v>
      </c>
      <c r="BF163" s="3" t="s">
        <v>80</v>
      </c>
      <c r="BG163" s="3" t="s">
        <v>416</v>
      </c>
      <c r="BH163" s="3">
        <f t="shared" si="36"/>
        <v>3</v>
      </c>
      <c r="BI163" s="3" t="str">
        <f t="shared" si="30"/>
        <v>F1</v>
      </c>
      <c r="BJ163" s="3">
        <v>79</v>
      </c>
      <c r="BK163" s="3" t="str">
        <f t="shared" si="31"/>
        <v>F10</v>
      </c>
      <c r="BL163" s="3">
        <v>1.5</v>
      </c>
      <c r="BM163" s="3">
        <v>1.5</v>
      </c>
      <c r="BN163" s="3">
        <f t="shared" si="32"/>
        <v>6.1183450000000006</v>
      </c>
      <c r="BO163" s="3">
        <f t="shared" si="33"/>
        <v>4.6183450000000006</v>
      </c>
      <c r="BP163" s="3" t="s">
        <v>419</v>
      </c>
      <c r="BQ163">
        <v>10</v>
      </c>
      <c r="BR163" t="s">
        <v>88</v>
      </c>
      <c r="BS163" s="3">
        <v>1</v>
      </c>
      <c r="BT163" s="3" t="s">
        <v>418</v>
      </c>
      <c r="BU163" s="3">
        <v>2</v>
      </c>
      <c r="BV163" s="3" t="str">
        <f t="shared" si="34"/>
        <v>F10</v>
      </c>
      <c r="BW163" s="3">
        <f t="shared" si="35"/>
        <v>4.6183450000000006</v>
      </c>
      <c r="BX163" s="21" t="s">
        <v>417</v>
      </c>
      <c r="BY163" s="3" t="str">
        <f t="shared" si="24"/>
        <v>Och-C_DilutionPlate</v>
      </c>
      <c r="BZ163" s="3" t="str">
        <f t="shared" si="25"/>
        <v>F10</v>
      </c>
      <c r="CA163" s="3" t="str">
        <f t="shared" si="26"/>
        <v>Och-C</v>
      </c>
      <c r="CC163" s="3">
        <v>1.5</v>
      </c>
      <c r="CD163" t="s">
        <v>556</v>
      </c>
      <c r="CE163" s="21" t="str">
        <f t="shared" si="21"/>
        <v>OcC0200601F</v>
      </c>
      <c r="CF163" s="21" t="str">
        <f t="shared" si="27"/>
        <v>Och-CCat_006-Ex1-1F-lcwgs-1-1</v>
      </c>
      <c r="CG163" s="3">
        <f t="shared" si="28"/>
        <v>0.36774650661249075</v>
      </c>
      <c r="CH163">
        <v>3808043</v>
      </c>
      <c r="CI163">
        <v>3041559</v>
      </c>
      <c r="CJ163" t="s">
        <v>79</v>
      </c>
      <c r="CK163" s="3">
        <v>7.2919665336434747</v>
      </c>
      <c r="CL163" t="s">
        <v>1201</v>
      </c>
      <c r="CM163" s="33" t="s">
        <v>1767</v>
      </c>
      <c r="CN163" s="3" t="str">
        <f t="shared" si="29"/>
        <v>Och-CCat_006-Ex1-1F-lcwgs-1-2</v>
      </c>
      <c r="CR163"/>
    </row>
    <row r="164" spans="1:96" x14ac:dyDescent="0.55000000000000004">
      <c r="A164" t="s">
        <v>295</v>
      </c>
      <c r="B164" t="s">
        <v>296</v>
      </c>
      <c r="C164" s="3">
        <v>1</v>
      </c>
      <c r="E164" t="s">
        <v>281</v>
      </c>
      <c r="F164">
        <v>7</v>
      </c>
      <c r="G164" t="s">
        <v>73</v>
      </c>
      <c r="H164">
        <v>3.7653691715152013</v>
      </c>
      <c r="I164" s="3" t="s">
        <v>74</v>
      </c>
      <c r="J164" s="3">
        <v>0.1</v>
      </c>
      <c r="K164" s="3">
        <v>7.25</v>
      </c>
      <c r="L164" s="3">
        <v>0.33</v>
      </c>
      <c r="O164" s="3">
        <v>100</v>
      </c>
      <c r="P164" s="3">
        <v>26.557820878891288</v>
      </c>
      <c r="R164" s="3">
        <v>10</v>
      </c>
      <c r="S164" s="4">
        <v>45058</v>
      </c>
      <c r="T164" s="3" t="s">
        <v>282</v>
      </c>
      <c r="U164" s="3" t="s">
        <v>283</v>
      </c>
      <c r="V164" s="11" t="s">
        <v>84</v>
      </c>
      <c r="W164" s="11">
        <v>1</v>
      </c>
      <c r="X164" s="11" t="s">
        <v>92</v>
      </c>
      <c r="Y164" s="11">
        <v>1</v>
      </c>
      <c r="Z164">
        <v>1</v>
      </c>
      <c r="AA164" t="s">
        <v>91</v>
      </c>
      <c r="AB164" t="s">
        <v>284</v>
      </c>
      <c r="AC164" s="3" t="s">
        <v>78</v>
      </c>
      <c r="AD164" s="3">
        <v>6</v>
      </c>
      <c r="AE164">
        <v>1</v>
      </c>
      <c r="AF164" t="s">
        <v>91</v>
      </c>
      <c r="AG164" t="s">
        <v>650</v>
      </c>
      <c r="AH164" s="17" t="s">
        <v>651</v>
      </c>
      <c r="AI164" t="s">
        <v>704</v>
      </c>
      <c r="AJ164" s="18" t="s">
        <v>705</v>
      </c>
      <c r="AO164" s="10">
        <v>6.1277749999999997</v>
      </c>
      <c r="AP164" s="3">
        <v>37</v>
      </c>
      <c r="AQ164" s="3">
        <f t="shared" si="23"/>
        <v>226.72767499999998</v>
      </c>
      <c r="BE164" s="3" t="s">
        <v>79</v>
      </c>
      <c r="BF164" s="3" t="s">
        <v>80</v>
      </c>
      <c r="BG164" s="3" t="s">
        <v>416</v>
      </c>
      <c r="BH164" s="3">
        <f t="shared" si="36"/>
        <v>3</v>
      </c>
      <c r="BI164" s="3" t="str">
        <f t="shared" si="30"/>
        <v>G1</v>
      </c>
      <c r="BJ164" s="3">
        <v>80</v>
      </c>
      <c r="BK164" s="3" t="str">
        <f t="shared" si="31"/>
        <v>G10</v>
      </c>
      <c r="BL164" s="3">
        <v>1.5</v>
      </c>
      <c r="BM164" s="3">
        <v>1.5</v>
      </c>
      <c r="BN164" s="3">
        <f t="shared" si="32"/>
        <v>6.1277749999999997</v>
      </c>
      <c r="BO164" s="3">
        <f t="shared" si="33"/>
        <v>4.6277749999999997</v>
      </c>
      <c r="BP164" s="3" t="s">
        <v>419</v>
      </c>
      <c r="BQ164">
        <v>10</v>
      </c>
      <c r="BR164" t="s">
        <v>91</v>
      </c>
      <c r="BS164" s="3">
        <v>1</v>
      </c>
      <c r="BT164" s="3" t="s">
        <v>418</v>
      </c>
      <c r="BU164" s="3">
        <v>2</v>
      </c>
      <c r="BV164" s="3" t="str">
        <f t="shared" si="34"/>
        <v>G10</v>
      </c>
      <c r="BW164" s="3">
        <f t="shared" si="35"/>
        <v>4.6277749999999997</v>
      </c>
      <c r="BX164" s="21" t="s">
        <v>417</v>
      </c>
      <c r="BY164" s="3" t="str">
        <f t="shared" si="24"/>
        <v>Och-C_DilutionPlate</v>
      </c>
      <c r="BZ164" s="3" t="str">
        <f t="shared" si="25"/>
        <v>G10</v>
      </c>
      <c r="CA164" s="3" t="str">
        <f t="shared" si="26"/>
        <v>Och-C</v>
      </c>
      <c r="CC164" s="3">
        <v>1.5</v>
      </c>
      <c r="CD164" t="s">
        <v>557</v>
      </c>
      <c r="CE164" s="21" t="str">
        <f t="shared" si="21"/>
        <v>OcC0200701G</v>
      </c>
      <c r="CF164" s="21" t="str">
        <f t="shared" si="27"/>
        <v>Och-CCat_007-Ex1-1G-lcwgs-1-1</v>
      </c>
      <c r="CG164" s="3">
        <f t="shared" si="28"/>
        <v>0.36718058349074501</v>
      </c>
      <c r="CH164">
        <v>1925319</v>
      </c>
      <c r="CI164">
        <v>1566175</v>
      </c>
      <c r="CJ164" t="s">
        <v>79</v>
      </c>
      <c r="CK164" s="3">
        <v>14.705909844342374</v>
      </c>
      <c r="CL164" t="s">
        <v>1201</v>
      </c>
      <c r="CM164" s="33" t="s">
        <v>1768</v>
      </c>
      <c r="CN164" s="3" t="str">
        <f t="shared" si="29"/>
        <v>Och-CCat_007-Ex1-1G-lcwgs-1-2</v>
      </c>
      <c r="CR164"/>
    </row>
    <row r="165" spans="1:96" x14ac:dyDescent="0.55000000000000004">
      <c r="A165" t="s">
        <v>297</v>
      </c>
      <c r="B165" t="s">
        <v>298</v>
      </c>
      <c r="C165" s="3">
        <v>1</v>
      </c>
      <c r="E165" t="s">
        <v>281</v>
      </c>
      <c r="F165">
        <v>8</v>
      </c>
      <c r="G165" t="s">
        <v>73</v>
      </c>
      <c r="H165">
        <v>4.2367737441612716</v>
      </c>
      <c r="I165" s="3" t="s">
        <v>74</v>
      </c>
      <c r="J165" s="3">
        <v>0.1</v>
      </c>
      <c r="K165" s="3">
        <v>7.25</v>
      </c>
      <c r="L165" s="3">
        <v>0.33</v>
      </c>
      <c r="O165" s="3">
        <v>100</v>
      </c>
      <c r="P165" s="3">
        <v>23.602865302356708</v>
      </c>
      <c r="R165" s="3">
        <v>10</v>
      </c>
      <c r="S165" s="4">
        <v>45058</v>
      </c>
      <c r="T165" s="3" t="s">
        <v>282</v>
      </c>
      <c r="U165" s="3" t="s">
        <v>283</v>
      </c>
      <c r="V165" s="11" t="s">
        <v>84</v>
      </c>
      <c r="W165" s="11">
        <v>2</v>
      </c>
      <c r="X165" s="11" t="s">
        <v>92</v>
      </c>
      <c r="Y165" s="11">
        <v>2</v>
      </c>
      <c r="Z165">
        <v>1</v>
      </c>
      <c r="AA165" t="s">
        <v>92</v>
      </c>
      <c r="AB165" t="s">
        <v>284</v>
      </c>
      <c r="AC165" s="3" t="s">
        <v>78</v>
      </c>
      <c r="AD165" s="3">
        <v>6</v>
      </c>
      <c r="AE165">
        <v>1</v>
      </c>
      <c r="AF165" t="s">
        <v>92</v>
      </c>
      <c r="AG165" t="s">
        <v>706</v>
      </c>
      <c r="AH165" s="17" t="s">
        <v>707</v>
      </c>
      <c r="AI165" t="s">
        <v>704</v>
      </c>
      <c r="AJ165" s="18" t="s">
        <v>705</v>
      </c>
      <c r="AO165" s="10">
        <v>5.058808</v>
      </c>
      <c r="AP165" s="3">
        <v>37</v>
      </c>
      <c r="AQ165" s="3">
        <f t="shared" si="23"/>
        <v>187.17589599999999</v>
      </c>
      <c r="BE165" s="3" t="s">
        <v>79</v>
      </c>
      <c r="BF165" s="3" t="s">
        <v>80</v>
      </c>
      <c r="BG165" s="3" t="s">
        <v>416</v>
      </c>
      <c r="BH165" s="3">
        <f t="shared" si="36"/>
        <v>3</v>
      </c>
      <c r="BI165" s="3" t="str">
        <f t="shared" si="30"/>
        <v>H1</v>
      </c>
      <c r="BJ165" s="3">
        <v>65</v>
      </c>
      <c r="BK165" s="3" t="str">
        <f t="shared" si="31"/>
        <v>H8</v>
      </c>
      <c r="BL165" s="3">
        <v>1.5</v>
      </c>
      <c r="BM165" s="3">
        <v>1.5</v>
      </c>
      <c r="BN165" s="3">
        <f t="shared" si="32"/>
        <v>5.058808</v>
      </c>
      <c r="BO165" s="3">
        <f t="shared" si="33"/>
        <v>3.558808</v>
      </c>
      <c r="BP165" s="3" t="s">
        <v>419</v>
      </c>
      <c r="BQ165">
        <v>8</v>
      </c>
      <c r="BR165" t="s">
        <v>92</v>
      </c>
      <c r="BS165" s="3">
        <v>1</v>
      </c>
      <c r="BT165" s="3" t="s">
        <v>418</v>
      </c>
      <c r="BU165" s="3">
        <v>2</v>
      </c>
      <c r="BV165" s="3" t="str">
        <f t="shared" si="34"/>
        <v>H8</v>
      </c>
      <c r="BW165" s="3">
        <f t="shared" si="35"/>
        <v>3.558808</v>
      </c>
      <c r="BX165" s="21" t="s">
        <v>417</v>
      </c>
      <c r="BY165" s="3" t="str">
        <f t="shared" si="24"/>
        <v>Och-C_DilutionPlate</v>
      </c>
      <c r="BZ165" s="3" t="str">
        <f t="shared" si="25"/>
        <v>H8</v>
      </c>
      <c r="CA165" s="3" t="str">
        <f t="shared" si="26"/>
        <v>Och-C</v>
      </c>
      <c r="CC165" s="3">
        <v>1.5</v>
      </c>
      <c r="CD165" t="s">
        <v>558</v>
      </c>
      <c r="CE165" s="21" t="str">
        <f t="shared" si="21"/>
        <v>OcC0200801H</v>
      </c>
      <c r="CF165" s="21" t="str">
        <f t="shared" si="27"/>
        <v>Och-CCat_008-Ex1-1H-lcwgs-1-1</v>
      </c>
      <c r="CG165" s="3">
        <f t="shared" si="28"/>
        <v>0.44476880719726863</v>
      </c>
      <c r="CH165">
        <v>1715799</v>
      </c>
      <c r="CI165">
        <v>1371275</v>
      </c>
      <c r="CJ165" t="s">
        <v>79</v>
      </c>
      <c r="CK165" s="3">
        <v>20.448742683374519</v>
      </c>
      <c r="CL165" t="s">
        <v>1201</v>
      </c>
      <c r="CM165" s="33" t="s">
        <v>1769</v>
      </c>
      <c r="CN165" s="3" t="str">
        <f t="shared" si="29"/>
        <v>Och-CCat_008-Ex1-1H-lcwgs-1-2</v>
      </c>
      <c r="CR165"/>
    </row>
    <row r="166" spans="1:96" x14ac:dyDescent="0.55000000000000004">
      <c r="A166" t="s">
        <v>299</v>
      </c>
      <c r="B166" t="s">
        <v>300</v>
      </c>
      <c r="C166" s="3">
        <v>1</v>
      </c>
      <c r="E166" t="s">
        <v>281</v>
      </c>
      <c r="F166">
        <v>9</v>
      </c>
      <c r="G166" t="s">
        <v>73</v>
      </c>
      <c r="H166">
        <v>6.3419159223141843</v>
      </c>
      <c r="I166" s="3" t="s">
        <v>74</v>
      </c>
      <c r="J166" s="3">
        <v>0.1</v>
      </c>
      <c r="K166" s="3">
        <v>7.25</v>
      </c>
      <c r="L166" s="3">
        <v>0.33</v>
      </c>
      <c r="O166" s="3">
        <v>100</v>
      </c>
      <c r="P166" s="3">
        <v>15.768105604829541</v>
      </c>
      <c r="R166" s="3">
        <v>10</v>
      </c>
      <c r="S166" s="4">
        <v>45058</v>
      </c>
      <c r="T166" s="3" t="s">
        <v>282</v>
      </c>
      <c r="U166" s="3" t="s">
        <v>283</v>
      </c>
      <c r="V166" s="11" t="s">
        <v>73</v>
      </c>
      <c r="W166" s="11">
        <v>3</v>
      </c>
      <c r="X166" s="11" t="s">
        <v>87</v>
      </c>
      <c r="Y166" s="11">
        <v>3</v>
      </c>
      <c r="Z166">
        <v>2</v>
      </c>
      <c r="AA166" t="s">
        <v>73</v>
      </c>
      <c r="AB166" t="s">
        <v>284</v>
      </c>
      <c r="AC166" s="3" t="s">
        <v>78</v>
      </c>
      <c r="AD166" s="3">
        <v>6</v>
      </c>
      <c r="AE166">
        <v>2</v>
      </c>
      <c r="AF166" t="s">
        <v>73</v>
      </c>
      <c r="AG166" t="s">
        <v>614</v>
      </c>
      <c r="AH166" s="17" t="s">
        <v>615</v>
      </c>
      <c r="AI166" t="s">
        <v>708</v>
      </c>
      <c r="AJ166" s="18" t="s">
        <v>709</v>
      </c>
      <c r="AO166" s="10">
        <v>4.0978510000000004</v>
      </c>
      <c r="AP166" s="3">
        <v>37</v>
      </c>
      <c r="AQ166" s="3">
        <f t="shared" si="23"/>
        <v>151.62048700000003</v>
      </c>
      <c r="BE166" s="3" t="s">
        <v>79</v>
      </c>
      <c r="BF166" s="3" t="s">
        <v>80</v>
      </c>
      <c r="BG166" s="3" t="s">
        <v>416</v>
      </c>
      <c r="BH166" s="3">
        <f t="shared" si="36"/>
        <v>3</v>
      </c>
      <c r="BI166" s="3" t="str">
        <f t="shared" si="30"/>
        <v>A2</v>
      </c>
      <c r="BJ166" s="3">
        <v>45</v>
      </c>
      <c r="BK166" s="3" t="str">
        <f t="shared" si="31"/>
        <v>D6</v>
      </c>
      <c r="BL166" s="3">
        <v>1.5</v>
      </c>
      <c r="BM166" s="3">
        <v>1.5</v>
      </c>
      <c r="BN166" s="3">
        <f t="shared" si="32"/>
        <v>4.0978510000000004</v>
      </c>
      <c r="BO166" s="3">
        <f t="shared" si="33"/>
        <v>2.5978510000000004</v>
      </c>
      <c r="BP166" s="3" t="s">
        <v>419</v>
      </c>
      <c r="BQ166">
        <v>6</v>
      </c>
      <c r="BR166" t="s">
        <v>84</v>
      </c>
      <c r="BS166" s="3">
        <v>1</v>
      </c>
      <c r="BT166" s="3" t="s">
        <v>418</v>
      </c>
      <c r="BU166" s="3">
        <v>2</v>
      </c>
      <c r="BV166" s="3" t="str">
        <f t="shared" si="34"/>
        <v>D6</v>
      </c>
      <c r="BW166" s="3">
        <f t="shared" si="35"/>
        <v>2.5978510000000004</v>
      </c>
      <c r="BX166" s="21" t="s">
        <v>417</v>
      </c>
      <c r="BY166" s="3" t="str">
        <f t="shared" si="24"/>
        <v>Och-C_DilutionPlate</v>
      </c>
      <c r="BZ166" s="3" t="str">
        <f t="shared" si="25"/>
        <v>D6</v>
      </c>
      <c r="CA166" s="3" t="str">
        <f t="shared" si="26"/>
        <v>Och-C</v>
      </c>
      <c r="CC166" s="3">
        <v>1.5</v>
      </c>
      <c r="CD166" t="s">
        <v>559</v>
      </c>
      <c r="CE166" s="21" t="str">
        <f t="shared" si="21"/>
        <v>OcC0200902A</v>
      </c>
      <c r="CF166" s="21" t="str">
        <f t="shared" si="27"/>
        <v>Och-CCat_009-Ex1-2A-lcwgs-1-1</v>
      </c>
      <c r="CG166" s="3">
        <f t="shared" si="28"/>
        <v>0.54906827993501961</v>
      </c>
      <c r="CH166">
        <v>3901220</v>
      </c>
      <c r="CI166">
        <v>3055599</v>
      </c>
      <c r="CJ166" t="s">
        <v>79</v>
      </c>
      <c r="CK166" s="3">
        <v>10.833199538245259</v>
      </c>
      <c r="CL166" t="s">
        <v>1201</v>
      </c>
      <c r="CM166" s="33" t="s">
        <v>1770</v>
      </c>
      <c r="CN166" s="3" t="str">
        <f t="shared" si="29"/>
        <v>Och-CCat_009-Ex1-2A-lcwgs-1-2</v>
      </c>
      <c r="CR166"/>
    </row>
    <row r="167" spans="1:96" x14ac:dyDescent="0.55000000000000004">
      <c r="A167" t="s">
        <v>301</v>
      </c>
      <c r="B167" t="s">
        <v>302</v>
      </c>
      <c r="C167" s="3">
        <v>1</v>
      </c>
      <c r="E167" t="s">
        <v>281</v>
      </c>
      <c r="F167">
        <v>10</v>
      </c>
      <c r="G167" t="s">
        <v>73</v>
      </c>
      <c r="H167">
        <v>2.7366016553306567</v>
      </c>
      <c r="I167" s="3" t="s">
        <v>74</v>
      </c>
      <c r="J167" s="3">
        <v>0.1</v>
      </c>
      <c r="K167" s="3">
        <v>7.25</v>
      </c>
      <c r="L167" s="3">
        <v>0.33</v>
      </c>
      <c r="O167" s="3">
        <v>100</v>
      </c>
      <c r="P167" s="3">
        <v>36.541671969396383</v>
      </c>
      <c r="R167" s="3">
        <v>10</v>
      </c>
      <c r="S167" s="4">
        <v>45058</v>
      </c>
      <c r="T167" s="3" t="s">
        <v>282</v>
      </c>
      <c r="U167" s="3" t="s">
        <v>283</v>
      </c>
      <c r="V167" s="11" t="s">
        <v>73</v>
      </c>
      <c r="W167" s="11">
        <v>4</v>
      </c>
      <c r="X167" s="11" t="s">
        <v>87</v>
      </c>
      <c r="Y167" s="11">
        <v>4</v>
      </c>
      <c r="Z167">
        <v>2</v>
      </c>
      <c r="AA167" t="s">
        <v>76</v>
      </c>
      <c r="AB167" t="s">
        <v>284</v>
      </c>
      <c r="AC167" s="3" t="s">
        <v>78</v>
      </c>
      <c r="AD167" s="3">
        <v>6</v>
      </c>
      <c r="AE167">
        <v>2</v>
      </c>
      <c r="AF167" t="s">
        <v>76</v>
      </c>
      <c r="AG167" t="s">
        <v>640</v>
      </c>
      <c r="AH167" s="17" t="s">
        <v>641</v>
      </c>
      <c r="AI167" t="s">
        <v>708</v>
      </c>
      <c r="AJ167" s="18" t="s">
        <v>709</v>
      </c>
      <c r="AO167" s="10">
        <v>6.6022299999999996</v>
      </c>
      <c r="AP167" s="3">
        <v>37</v>
      </c>
      <c r="AQ167" s="3">
        <f t="shared" si="23"/>
        <v>244.28250999999997</v>
      </c>
      <c r="BE167" s="3" t="s">
        <v>79</v>
      </c>
      <c r="BF167" s="3" t="s">
        <v>80</v>
      </c>
      <c r="BG167" s="3" t="s">
        <v>416</v>
      </c>
      <c r="BH167" s="3">
        <f t="shared" si="36"/>
        <v>3</v>
      </c>
      <c r="BI167" s="3" t="str">
        <f t="shared" si="30"/>
        <v>B2</v>
      </c>
      <c r="BJ167" s="3">
        <v>85</v>
      </c>
      <c r="BK167" s="3" t="str">
        <f t="shared" si="31"/>
        <v>D11</v>
      </c>
      <c r="BL167" s="3">
        <v>1.5</v>
      </c>
      <c r="BM167" s="3">
        <v>1.5</v>
      </c>
      <c r="BN167" s="3">
        <f t="shared" si="32"/>
        <v>6.6022299999999996</v>
      </c>
      <c r="BO167" s="3">
        <f t="shared" si="33"/>
        <v>5.1022299999999996</v>
      </c>
      <c r="BP167" s="3" t="s">
        <v>419</v>
      </c>
      <c r="BQ167">
        <v>11</v>
      </c>
      <c r="BR167" t="s">
        <v>84</v>
      </c>
      <c r="BS167" s="3">
        <v>1</v>
      </c>
      <c r="BT167" s="3" t="s">
        <v>418</v>
      </c>
      <c r="BU167" s="3">
        <v>2</v>
      </c>
      <c r="BV167" s="3" t="str">
        <f t="shared" si="34"/>
        <v>D11</v>
      </c>
      <c r="BW167" s="3">
        <f t="shared" si="35"/>
        <v>5.1022299999999996</v>
      </c>
      <c r="BX167" s="21" t="s">
        <v>417</v>
      </c>
      <c r="BY167" s="3" t="str">
        <f t="shared" si="24"/>
        <v>Och-C_DilutionPlate</v>
      </c>
      <c r="BZ167" s="3" t="str">
        <f t="shared" si="25"/>
        <v>D11</v>
      </c>
      <c r="CA167" s="3" t="str">
        <f t="shared" si="26"/>
        <v>Och-C</v>
      </c>
      <c r="CC167" s="3">
        <v>1.5</v>
      </c>
      <c r="CD167" t="s">
        <v>560</v>
      </c>
      <c r="CE167" s="21" t="str">
        <f t="shared" si="21"/>
        <v>OcC0201002B</v>
      </c>
      <c r="CF167" s="21" t="str">
        <f t="shared" si="27"/>
        <v>Och-CCat_010-Ex1-2B-lcwgs-1-1</v>
      </c>
      <c r="CG167" s="3">
        <f t="shared" si="28"/>
        <v>0.34079394386442158</v>
      </c>
      <c r="CH167">
        <v>2504285</v>
      </c>
      <c r="CI167">
        <v>2006517</v>
      </c>
      <c r="CJ167" t="s">
        <v>79</v>
      </c>
      <c r="CK167" s="3">
        <v>10.531240710560819</v>
      </c>
      <c r="CL167" t="s">
        <v>1201</v>
      </c>
      <c r="CM167" s="33" t="s">
        <v>1771</v>
      </c>
      <c r="CN167" s="3" t="str">
        <f t="shared" si="29"/>
        <v>Och-CCat_010-Ex1-2B-lcwgs-1-2</v>
      </c>
      <c r="CR167"/>
    </row>
    <row r="168" spans="1:96" x14ac:dyDescent="0.55000000000000004">
      <c r="A168" t="s">
        <v>303</v>
      </c>
      <c r="B168" t="s">
        <v>304</v>
      </c>
      <c r="C168" s="3">
        <v>1</v>
      </c>
      <c r="E168" t="s">
        <v>281</v>
      </c>
      <c r="F168">
        <v>11</v>
      </c>
      <c r="G168" t="s">
        <v>73</v>
      </c>
      <c r="H168">
        <v>3.3748750307301485</v>
      </c>
      <c r="I168" s="3" t="s">
        <v>74</v>
      </c>
      <c r="J168" s="3">
        <v>0.1</v>
      </c>
      <c r="K168" s="3">
        <v>7.25</v>
      </c>
      <c r="L168" s="3">
        <v>0.33</v>
      </c>
      <c r="O168" s="3">
        <v>100</v>
      </c>
      <c r="P168" s="3">
        <v>29.630726794160783</v>
      </c>
      <c r="R168" s="3">
        <v>10</v>
      </c>
      <c r="S168" s="4">
        <v>45058</v>
      </c>
      <c r="T168" s="3" t="s">
        <v>282</v>
      </c>
      <c r="U168" s="3" t="s">
        <v>283</v>
      </c>
      <c r="V168" s="11" t="s">
        <v>76</v>
      </c>
      <c r="W168" s="11">
        <v>3</v>
      </c>
      <c r="X168" s="11" t="s">
        <v>88</v>
      </c>
      <c r="Y168" s="11">
        <v>3</v>
      </c>
      <c r="Z168">
        <v>2</v>
      </c>
      <c r="AA168" t="s">
        <v>83</v>
      </c>
      <c r="AB168" t="s">
        <v>284</v>
      </c>
      <c r="AC168" s="3" t="s">
        <v>78</v>
      </c>
      <c r="AD168" s="3">
        <v>6</v>
      </c>
      <c r="AE168">
        <v>2</v>
      </c>
      <c r="AF168" t="s">
        <v>83</v>
      </c>
      <c r="AG168" t="s">
        <v>642</v>
      </c>
      <c r="AH168" s="17" t="s">
        <v>643</v>
      </c>
      <c r="AI168" t="s">
        <v>708</v>
      </c>
      <c r="AJ168" s="18" t="s">
        <v>709</v>
      </c>
      <c r="AO168" s="10">
        <v>6.7375040000000004</v>
      </c>
      <c r="AP168" s="3">
        <v>37</v>
      </c>
      <c r="AQ168" s="3">
        <f t="shared" si="23"/>
        <v>249.28764800000002</v>
      </c>
      <c r="BE168" s="3" t="s">
        <v>79</v>
      </c>
      <c r="BF168" s="3" t="s">
        <v>80</v>
      </c>
      <c r="BG168" s="3" t="s">
        <v>416</v>
      </c>
      <c r="BH168" s="3">
        <f t="shared" si="36"/>
        <v>3</v>
      </c>
      <c r="BI168" s="3" t="str">
        <f t="shared" si="30"/>
        <v>C2</v>
      </c>
      <c r="BJ168" s="3">
        <v>86</v>
      </c>
      <c r="BK168" s="3" t="str">
        <f t="shared" si="31"/>
        <v>E11</v>
      </c>
      <c r="BL168" s="3">
        <v>1.5</v>
      </c>
      <c r="BM168" s="3">
        <v>1.5</v>
      </c>
      <c r="BN168" s="3">
        <f t="shared" si="32"/>
        <v>6.7375040000000004</v>
      </c>
      <c r="BO168" s="3">
        <f t="shared" si="33"/>
        <v>5.2375040000000004</v>
      </c>
      <c r="BP168" s="3" t="s">
        <v>419</v>
      </c>
      <c r="BQ168">
        <v>11</v>
      </c>
      <c r="BR168" t="s">
        <v>87</v>
      </c>
      <c r="BS168" s="3">
        <v>1</v>
      </c>
      <c r="BT168" s="3" t="s">
        <v>418</v>
      </c>
      <c r="BU168" s="3">
        <v>2</v>
      </c>
      <c r="BV168" s="3" t="str">
        <f t="shared" si="34"/>
        <v>E11</v>
      </c>
      <c r="BW168" s="3">
        <f t="shared" si="35"/>
        <v>5.2375040000000004</v>
      </c>
      <c r="BX168" s="21" t="s">
        <v>417</v>
      </c>
      <c r="BY168" s="3" t="str">
        <f t="shared" si="24"/>
        <v>Och-C_DilutionPlate</v>
      </c>
      <c r="BZ168" s="3" t="str">
        <f t="shared" si="25"/>
        <v>E11</v>
      </c>
      <c r="CA168" s="3" t="str">
        <f t="shared" si="26"/>
        <v>Och-C</v>
      </c>
      <c r="CC168" s="3">
        <v>1.5</v>
      </c>
      <c r="CD168" t="s">
        <v>561</v>
      </c>
      <c r="CE168" s="21" t="str">
        <f t="shared" si="21"/>
        <v>OcC0201102C</v>
      </c>
      <c r="CF168" s="21" t="str">
        <f t="shared" si="27"/>
        <v>Och-CCat_011-Ex1-2C-lcwgs-1-1</v>
      </c>
      <c r="CG168" s="3">
        <f t="shared" si="28"/>
        <v>0.33395156425881156</v>
      </c>
      <c r="CH168">
        <v>2970281</v>
      </c>
      <c r="CI168">
        <v>2374641</v>
      </c>
      <c r="CJ168" t="s">
        <v>79</v>
      </c>
      <c r="CK168" s="3">
        <v>8.6352052313624537</v>
      </c>
      <c r="CL168" t="s">
        <v>1201</v>
      </c>
      <c r="CM168" s="33" t="s">
        <v>1772</v>
      </c>
      <c r="CN168" s="3" t="str">
        <f t="shared" si="29"/>
        <v>Och-CCat_011-Ex1-2C-lcwgs-1-2</v>
      </c>
      <c r="CR168"/>
    </row>
    <row r="169" spans="1:96" x14ac:dyDescent="0.55000000000000004">
      <c r="A169" t="s">
        <v>305</v>
      </c>
      <c r="B169" t="s">
        <v>306</v>
      </c>
      <c r="C169" s="3">
        <v>1</v>
      </c>
      <c r="E169" t="s">
        <v>281</v>
      </c>
      <c r="F169">
        <v>12</v>
      </c>
      <c r="G169" t="s">
        <v>73</v>
      </c>
      <c r="H169">
        <v>7.4206219782020808</v>
      </c>
      <c r="I169" s="3" t="s">
        <v>74</v>
      </c>
      <c r="J169" s="3">
        <v>0.1</v>
      </c>
      <c r="K169" s="3">
        <v>7.25</v>
      </c>
      <c r="L169" s="3">
        <v>0.33</v>
      </c>
      <c r="O169" s="3">
        <v>100</v>
      </c>
      <c r="P169" s="3">
        <v>13.475959332485589</v>
      </c>
      <c r="R169" s="3">
        <v>10</v>
      </c>
      <c r="S169" s="4">
        <v>45058</v>
      </c>
      <c r="T169" s="3" t="s">
        <v>282</v>
      </c>
      <c r="U169" s="3" t="s">
        <v>283</v>
      </c>
      <c r="V169" s="11" t="s">
        <v>76</v>
      </c>
      <c r="W169" s="11">
        <v>4</v>
      </c>
      <c r="X169" s="11" t="s">
        <v>88</v>
      </c>
      <c r="Y169" s="11">
        <v>4</v>
      </c>
      <c r="Z169">
        <v>2</v>
      </c>
      <c r="AA169" t="s">
        <v>84</v>
      </c>
      <c r="AB169" t="s">
        <v>284</v>
      </c>
      <c r="AC169" s="3" t="s">
        <v>78</v>
      </c>
      <c r="AD169" s="3">
        <v>6</v>
      </c>
      <c r="AE169">
        <v>2</v>
      </c>
      <c r="AF169" t="s">
        <v>84</v>
      </c>
      <c r="AG169" t="s">
        <v>644</v>
      </c>
      <c r="AH169" s="17" t="s">
        <v>645</v>
      </c>
      <c r="AI169" t="s">
        <v>708</v>
      </c>
      <c r="AJ169" s="18" t="s">
        <v>709</v>
      </c>
      <c r="AO169" s="10">
        <v>3.3645849999999999</v>
      </c>
      <c r="AP169" s="3">
        <v>37</v>
      </c>
      <c r="AQ169" s="3">
        <f t="shared" si="23"/>
        <v>124.489645</v>
      </c>
      <c r="BE169" s="3" t="s">
        <v>79</v>
      </c>
      <c r="BF169" s="3" t="s">
        <v>80</v>
      </c>
      <c r="BG169" s="3" t="s">
        <v>416</v>
      </c>
      <c r="BH169" s="3">
        <f t="shared" si="36"/>
        <v>3</v>
      </c>
      <c r="BI169" s="3" t="str">
        <f t="shared" si="30"/>
        <v>D2</v>
      </c>
      <c r="BJ169" s="3">
        <v>19</v>
      </c>
      <c r="BK169" s="3" t="str">
        <f t="shared" si="31"/>
        <v>B3</v>
      </c>
      <c r="BL169" s="3">
        <v>1.5</v>
      </c>
      <c r="BM169" s="3">
        <v>1.5</v>
      </c>
      <c r="BN169" s="3">
        <f t="shared" si="32"/>
        <v>3.3645849999999999</v>
      </c>
      <c r="BO169" s="3">
        <f t="shared" si="33"/>
        <v>1.8645849999999999</v>
      </c>
      <c r="BP169" s="3" t="s">
        <v>419</v>
      </c>
      <c r="BQ169">
        <v>3</v>
      </c>
      <c r="BR169" t="s">
        <v>76</v>
      </c>
      <c r="BS169" s="3">
        <v>1</v>
      </c>
      <c r="BT169" s="3" t="s">
        <v>418</v>
      </c>
      <c r="BU169" s="3">
        <v>2</v>
      </c>
      <c r="BV169" s="3" t="str">
        <f t="shared" si="34"/>
        <v>B3</v>
      </c>
      <c r="BW169" s="3">
        <f t="shared" si="35"/>
        <v>1.8645849999999999</v>
      </c>
      <c r="BX169" s="21" t="s">
        <v>417</v>
      </c>
      <c r="BY169" s="3" t="str">
        <f t="shared" si="24"/>
        <v>Och-C_DilutionPlate</v>
      </c>
      <c r="BZ169" s="3" t="str">
        <f t="shared" si="25"/>
        <v>B3</v>
      </c>
      <c r="CA169" s="3" t="str">
        <f t="shared" si="26"/>
        <v>Och-C</v>
      </c>
      <c r="CC169" s="3">
        <v>1.5</v>
      </c>
      <c r="CD169" t="s">
        <v>562</v>
      </c>
      <c r="CE169" s="21" t="str">
        <f t="shared" si="21"/>
        <v>OcC0201202D</v>
      </c>
      <c r="CF169" s="21" t="str">
        <f t="shared" si="27"/>
        <v>Och-CCat_012-Ex1-2D-lcwgs-1-1</v>
      </c>
      <c r="CG169" s="3">
        <f t="shared" si="28"/>
        <v>0.66873031889519807</v>
      </c>
      <c r="CH169">
        <v>1899600</v>
      </c>
      <c r="CI169">
        <v>1479148</v>
      </c>
      <c r="CJ169" t="s">
        <v>185</v>
      </c>
      <c r="CK169" s="3">
        <v>0</v>
      </c>
      <c r="CL169"/>
      <c r="CM169" s="33"/>
    </row>
    <row r="170" spans="1:96" x14ac:dyDescent="0.55000000000000004">
      <c r="A170" t="s">
        <v>307</v>
      </c>
      <c r="B170" t="s">
        <v>308</v>
      </c>
      <c r="C170" s="3">
        <v>1</v>
      </c>
      <c r="E170" t="s">
        <v>281</v>
      </c>
      <c r="F170">
        <v>1</v>
      </c>
      <c r="G170" t="s">
        <v>76</v>
      </c>
      <c r="H170">
        <v>6.5391747930836672</v>
      </c>
      <c r="I170" s="3" t="s">
        <v>74</v>
      </c>
      <c r="J170" s="3">
        <v>0.1</v>
      </c>
      <c r="K170" s="3">
        <v>7.25</v>
      </c>
      <c r="L170" s="3">
        <v>0.33</v>
      </c>
      <c r="O170" s="3">
        <v>100</v>
      </c>
      <c r="P170" s="3">
        <v>15.292449454901812</v>
      </c>
      <c r="R170" s="3">
        <v>10</v>
      </c>
      <c r="S170" s="4">
        <v>45058</v>
      </c>
      <c r="T170" s="3" t="s">
        <v>282</v>
      </c>
      <c r="U170" s="3" t="s">
        <v>283</v>
      </c>
      <c r="V170" s="11" t="s">
        <v>83</v>
      </c>
      <c r="W170" s="11">
        <v>3</v>
      </c>
      <c r="X170" s="11" t="s">
        <v>91</v>
      </c>
      <c r="Y170" s="11">
        <v>3</v>
      </c>
      <c r="Z170">
        <v>2</v>
      </c>
      <c r="AA170" t="s">
        <v>87</v>
      </c>
      <c r="AB170" t="s">
        <v>284</v>
      </c>
      <c r="AC170" s="3" t="s">
        <v>78</v>
      </c>
      <c r="AD170" s="3">
        <v>6</v>
      </c>
      <c r="AE170">
        <v>2</v>
      </c>
      <c r="AF170" t="s">
        <v>87</v>
      </c>
      <c r="AG170" t="s">
        <v>646</v>
      </c>
      <c r="AH170" s="17" t="s">
        <v>647</v>
      </c>
      <c r="AI170" t="s">
        <v>708</v>
      </c>
      <c r="AJ170" s="18" t="s">
        <v>709</v>
      </c>
      <c r="AO170" s="10">
        <v>3.0913539999999999</v>
      </c>
      <c r="AP170" s="3">
        <v>37</v>
      </c>
      <c r="AQ170" s="3">
        <f t="shared" si="23"/>
        <v>114.380098</v>
      </c>
      <c r="BE170" s="3" t="s">
        <v>79</v>
      </c>
      <c r="BF170" s="3" t="s">
        <v>80</v>
      </c>
      <c r="BG170" s="3" t="s">
        <v>416</v>
      </c>
      <c r="BH170" s="3">
        <f t="shared" si="36"/>
        <v>3</v>
      </c>
      <c r="BI170" s="3" t="str">
        <f t="shared" si="30"/>
        <v>E2</v>
      </c>
      <c r="BJ170" s="3">
        <v>8</v>
      </c>
      <c r="BK170" s="3" t="str">
        <f t="shared" si="31"/>
        <v>G1</v>
      </c>
      <c r="BL170" s="3">
        <v>1.5</v>
      </c>
      <c r="BM170" s="3">
        <v>1.5</v>
      </c>
      <c r="BN170" s="3">
        <f t="shared" si="32"/>
        <v>3.0913540000000004</v>
      </c>
      <c r="BO170" s="3">
        <f t="shared" si="33"/>
        <v>1.5913540000000004</v>
      </c>
      <c r="BP170" s="3" t="s">
        <v>419</v>
      </c>
      <c r="BQ170">
        <v>1</v>
      </c>
      <c r="BR170" t="s">
        <v>91</v>
      </c>
      <c r="BS170" s="3">
        <v>1</v>
      </c>
      <c r="BT170" s="3" t="s">
        <v>418</v>
      </c>
      <c r="BU170" s="3">
        <v>2</v>
      </c>
      <c r="BV170" s="3" t="str">
        <f t="shared" si="34"/>
        <v>G1</v>
      </c>
      <c r="BW170" s="3">
        <f t="shared" si="35"/>
        <v>1.5913540000000004</v>
      </c>
      <c r="BX170" s="21" t="s">
        <v>417</v>
      </c>
      <c r="BY170" s="3" t="str">
        <f t="shared" si="24"/>
        <v>Och-C_DilutionPlate</v>
      </c>
      <c r="BZ170" s="3" t="str">
        <f t="shared" si="25"/>
        <v>G1</v>
      </c>
      <c r="CA170" s="3" t="str">
        <f t="shared" si="26"/>
        <v>Och-C</v>
      </c>
      <c r="CC170" s="3">
        <v>1.5</v>
      </c>
      <c r="CD170" t="s">
        <v>563</v>
      </c>
      <c r="CE170" s="21" t="str">
        <f t="shared" si="21"/>
        <v>OcC0201302E</v>
      </c>
      <c r="CF170" s="21" t="str">
        <f t="shared" si="27"/>
        <v>Och-CCat_013-Ex1-2E-lcwgs-1-1</v>
      </c>
      <c r="CG170" s="3">
        <f t="shared" ref="CG170:CG201" si="37">IF(ISNUMBER(BL170),(CC170/BN170)*BL170,CC170)</f>
        <v>0.72783641084133355</v>
      </c>
      <c r="CH170">
        <v>2650942</v>
      </c>
      <c r="CI170">
        <v>2139898</v>
      </c>
      <c r="CJ170" t="s">
        <v>79</v>
      </c>
      <c r="CK170" s="3">
        <v>21.015441594227823</v>
      </c>
      <c r="CL170" t="s">
        <v>1201</v>
      </c>
      <c r="CM170" s="33" t="s">
        <v>1773</v>
      </c>
      <c r="CN170" s="3" t="str">
        <f>B170&amp;"-"&amp;Z170&amp;AA170&amp;"-lcwgs-"&amp;C170&amp;"-2"</f>
        <v>Och-CCat_013-Ex1-2E-lcwgs-1-2</v>
      </c>
      <c r="CR170"/>
    </row>
    <row r="171" spans="1:96" x14ac:dyDescent="0.55000000000000004">
      <c r="A171" t="s">
        <v>309</v>
      </c>
      <c r="B171" t="s">
        <v>310</v>
      </c>
      <c r="C171" s="3">
        <v>1</v>
      </c>
      <c r="E171" t="s">
        <v>281</v>
      </c>
      <c r="F171">
        <v>2</v>
      </c>
      <c r="G171" t="s">
        <v>76</v>
      </c>
      <c r="H171">
        <v>1.7318200442514136</v>
      </c>
      <c r="I171" s="3" t="s">
        <v>74</v>
      </c>
      <c r="J171" s="3">
        <v>0.1</v>
      </c>
      <c r="K171" s="3">
        <v>7.25</v>
      </c>
      <c r="L171" s="3">
        <v>0.33</v>
      </c>
      <c r="O171" s="3">
        <v>77.931901991313609</v>
      </c>
      <c r="P171" s="3">
        <v>45</v>
      </c>
      <c r="R171" s="3">
        <v>10</v>
      </c>
      <c r="S171" s="4">
        <v>45058</v>
      </c>
      <c r="T171" s="3" t="s">
        <v>282</v>
      </c>
      <c r="U171" s="3" t="s">
        <v>283</v>
      </c>
      <c r="V171" s="11" t="s">
        <v>83</v>
      </c>
      <c r="W171" s="11">
        <v>4</v>
      </c>
      <c r="X171" s="11" t="s">
        <v>91</v>
      </c>
      <c r="Y171" s="11">
        <v>4</v>
      </c>
      <c r="Z171">
        <v>2</v>
      </c>
      <c r="AA171" t="s">
        <v>88</v>
      </c>
      <c r="AB171" t="s">
        <v>284</v>
      </c>
      <c r="AC171" s="3" t="s">
        <v>78</v>
      </c>
      <c r="AD171" s="3">
        <v>6</v>
      </c>
      <c r="AE171">
        <v>2</v>
      </c>
      <c r="AF171" t="s">
        <v>88</v>
      </c>
      <c r="AG171" t="s">
        <v>648</v>
      </c>
      <c r="AH171" s="17" t="s">
        <v>649</v>
      </c>
      <c r="AI171" t="s">
        <v>708</v>
      </c>
      <c r="AJ171" s="18" t="s">
        <v>709</v>
      </c>
      <c r="AO171" s="10">
        <v>3.7447140000000001</v>
      </c>
      <c r="AP171" s="3">
        <v>37</v>
      </c>
      <c r="AQ171" s="3">
        <f t="shared" si="23"/>
        <v>138.554418</v>
      </c>
      <c r="BE171" s="3" t="s">
        <v>79</v>
      </c>
      <c r="BF171" s="3" t="s">
        <v>80</v>
      </c>
      <c r="BG171" s="3" t="s">
        <v>416</v>
      </c>
      <c r="BH171" s="3">
        <f t="shared" si="36"/>
        <v>3</v>
      </c>
      <c r="BI171" s="3" t="str">
        <f t="shared" si="30"/>
        <v>F2</v>
      </c>
      <c r="BJ171" s="3">
        <v>32</v>
      </c>
      <c r="BK171" s="3" t="str">
        <f t="shared" si="31"/>
        <v>G4</v>
      </c>
      <c r="BL171" s="3">
        <v>1.5</v>
      </c>
      <c r="BM171" s="3">
        <v>1.5</v>
      </c>
      <c r="BN171" s="3">
        <f t="shared" si="32"/>
        <v>3.7447140000000001</v>
      </c>
      <c r="BO171" s="3">
        <f t="shared" si="33"/>
        <v>2.2447140000000001</v>
      </c>
      <c r="BP171" s="3" t="s">
        <v>419</v>
      </c>
      <c r="BQ171">
        <v>4</v>
      </c>
      <c r="BR171" t="s">
        <v>91</v>
      </c>
      <c r="BS171" s="3">
        <v>1</v>
      </c>
      <c r="BT171" s="3" t="s">
        <v>418</v>
      </c>
      <c r="BU171" s="3">
        <v>2</v>
      </c>
      <c r="BV171" s="3" t="str">
        <f t="shared" si="34"/>
        <v>G4</v>
      </c>
      <c r="BW171" s="3">
        <f t="shared" si="35"/>
        <v>2.2447140000000001</v>
      </c>
      <c r="BX171" s="21" t="s">
        <v>417</v>
      </c>
      <c r="BY171" s="3" t="str">
        <f t="shared" si="24"/>
        <v>Och-C_DilutionPlate</v>
      </c>
      <c r="BZ171" s="3" t="str">
        <f t="shared" si="25"/>
        <v>G4</v>
      </c>
      <c r="CA171" s="3" t="str">
        <f t="shared" si="26"/>
        <v>Och-C</v>
      </c>
      <c r="CC171" s="3">
        <v>1.5</v>
      </c>
      <c r="CD171" t="s">
        <v>564</v>
      </c>
      <c r="CE171" s="21" t="str">
        <f t="shared" si="21"/>
        <v>OcC0201402F</v>
      </c>
      <c r="CF171" s="21" t="str">
        <f t="shared" si="27"/>
        <v>Och-CCat_014-Ex1-2F-lcwgs-1-1</v>
      </c>
      <c r="CG171" s="3">
        <f t="shared" si="37"/>
        <v>0.60084695386616982</v>
      </c>
      <c r="CH171">
        <v>2384495</v>
      </c>
      <c r="CI171">
        <v>1892350</v>
      </c>
      <c r="CJ171" t="s">
        <v>79</v>
      </c>
      <c r="CK171" s="3">
        <v>19.746973335712521</v>
      </c>
      <c r="CL171" t="s">
        <v>1201</v>
      </c>
      <c r="CM171" s="33" t="s">
        <v>1774</v>
      </c>
      <c r="CN171" s="3" t="str">
        <f>B171&amp;"-"&amp;Z171&amp;AA171&amp;"-lcwgs-"&amp;C171&amp;"-2"</f>
        <v>Och-CCat_014-Ex1-2F-lcwgs-1-2</v>
      </c>
      <c r="CR171"/>
    </row>
    <row r="172" spans="1:96" x14ac:dyDescent="0.55000000000000004">
      <c r="A172" t="s">
        <v>311</v>
      </c>
      <c r="B172" t="s">
        <v>312</v>
      </c>
      <c r="C172" s="3">
        <v>1</v>
      </c>
      <c r="E172" t="s">
        <v>281</v>
      </c>
      <c r="F172">
        <v>3</v>
      </c>
      <c r="G172" t="s">
        <v>76</v>
      </c>
      <c r="H172">
        <v>0.84498483979349337</v>
      </c>
      <c r="I172" s="3" t="s">
        <v>74</v>
      </c>
      <c r="J172" s="3">
        <v>0.1</v>
      </c>
      <c r="K172" s="3">
        <v>7.25</v>
      </c>
      <c r="L172" s="3">
        <v>0.33</v>
      </c>
      <c r="O172" s="3">
        <v>38.024317790707201</v>
      </c>
      <c r="P172" s="3">
        <v>45</v>
      </c>
      <c r="R172" s="3">
        <v>10</v>
      </c>
      <c r="S172" s="4">
        <v>45058</v>
      </c>
      <c r="T172" s="3" t="s">
        <v>282</v>
      </c>
      <c r="U172" s="3" t="s">
        <v>283</v>
      </c>
      <c r="V172" s="11" t="s">
        <v>84</v>
      </c>
      <c r="W172" s="11">
        <v>3</v>
      </c>
      <c r="X172" s="11" t="s">
        <v>92</v>
      </c>
      <c r="Y172" s="11">
        <v>3</v>
      </c>
      <c r="Z172">
        <v>2</v>
      </c>
      <c r="AA172" t="s">
        <v>91</v>
      </c>
      <c r="AB172" t="s">
        <v>284</v>
      </c>
      <c r="AC172" s="3" t="s">
        <v>78</v>
      </c>
      <c r="AD172" s="3">
        <v>6</v>
      </c>
      <c r="AE172">
        <v>2</v>
      </c>
      <c r="AF172" t="s">
        <v>91</v>
      </c>
      <c r="AG172" t="s">
        <v>650</v>
      </c>
      <c r="AH172" s="17" t="s">
        <v>651</v>
      </c>
      <c r="AI172" t="s">
        <v>708</v>
      </c>
      <c r="AJ172" s="18" t="s">
        <v>709</v>
      </c>
      <c r="AO172" s="10">
        <v>3.7447949999999999</v>
      </c>
      <c r="AP172" s="3">
        <v>37</v>
      </c>
      <c r="AQ172" s="3">
        <f t="shared" si="23"/>
        <v>138.55741499999999</v>
      </c>
      <c r="BE172" s="3" t="s">
        <v>79</v>
      </c>
      <c r="BF172" s="3" t="s">
        <v>80</v>
      </c>
      <c r="BG172" s="3" t="s">
        <v>416</v>
      </c>
      <c r="BH172" s="3">
        <f t="shared" si="36"/>
        <v>3</v>
      </c>
      <c r="BI172" s="3" t="str">
        <f t="shared" si="30"/>
        <v>G2</v>
      </c>
      <c r="BJ172" s="3">
        <v>33</v>
      </c>
      <c r="BK172" s="3" t="str">
        <f t="shared" si="31"/>
        <v>H4</v>
      </c>
      <c r="BL172" s="3">
        <v>1.5</v>
      </c>
      <c r="BM172" s="3">
        <v>1.5</v>
      </c>
      <c r="BN172" s="3">
        <f t="shared" si="32"/>
        <v>3.7447949999999999</v>
      </c>
      <c r="BO172" s="3">
        <f t="shared" si="33"/>
        <v>2.2447949999999999</v>
      </c>
      <c r="BP172" s="3" t="s">
        <v>419</v>
      </c>
      <c r="BQ172">
        <v>4</v>
      </c>
      <c r="BR172" t="s">
        <v>92</v>
      </c>
      <c r="BS172" s="3">
        <v>1</v>
      </c>
      <c r="BT172" s="3" t="s">
        <v>418</v>
      </c>
      <c r="BU172" s="3">
        <v>2</v>
      </c>
      <c r="BV172" s="3" t="str">
        <f t="shared" si="34"/>
        <v>H4</v>
      </c>
      <c r="BW172" s="3">
        <f t="shared" si="35"/>
        <v>2.2447949999999999</v>
      </c>
      <c r="BX172" s="21" t="s">
        <v>417</v>
      </c>
      <c r="BY172" s="3" t="str">
        <f t="shared" si="24"/>
        <v>Och-C_DilutionPlate</v>
      </c>
      <c r="BZ172" s="3" t="str">
        <f t="shared" si="25"/>
        <v>H4</v>
      </c>
      <c r="CA172" s="3" t="str">
        <f t="shared" si="26"/>
        <v>Och-C</v>
      </c>
      <c r="CC172" s="3">
        <v>1.5</v>
      </c>
      <c r="CD172" t="s">
        <v>565</v>
      </c>
      <c r="CE172" s="21" t="str">
        <f t="shared" si="21"/>
        <v>OcC0201502G</v>
      </c>
      <c r="CF172" s="21" t="str">
        <f t="shared" si="27"/>
        <v>Och-CCat_015-Ex1-2G-lcwgs-1-1</v>
      </c>
      <c r="CG172" s="3">
        <f t="shared" si="37"/>
        <v>0.60083395753305591</v>
      </c>
      <c r="CH172">
        <v>1599745</v>
      </c>
      <c r="CI172">
        <v>1269503</v>
      </c>
      <c r="CJ172" t="s">
        <v>185</v>
      </c>
      <c r="CK172" s="3">
        <v>0</v>
      </c>
      <c r="CL172"/>
      <c r="CM172" s="33"/>
    </row>
    <row r="173" spans="1:96" x14ac:dyDescent="0.55000000000000004">
      <c r="A173" t="s">
        <v>313</v>
      </c>
      <c r="B173" t="s">
        <v>314</v>
      </c>
      <c r="C173" s="3">
        <v>1</v>
      </c>
      <c r="E173" t="s">
        <v>281</v>
      </c>
      <c r="F173">
        <v>4</v>
      </c>
      <c r="G173" t="s">
        <v>76</v>
      </c>
      <c r="H173">
        <v>6.3007129394411212</v>
      </c>
      <c r="I173" s="3" t="s">
        <v>74</v>
      </c>
      <c r="J173" s="3">
        <v>0.1</v>
      </c>
      <c r="K173" s="3">
        <v>7.25</v>
      </c>
      <c r="L173" s="3">
        <v>0.33</v>
      </c>
      <c r="O173" s="3">
        <v>100</v>
      </c>
      <c r="P173" s="3">
        <v>15.871219806574793</v>
      </c>
      <c r="R173" s="3">
        <v>10</v>
      </c>
      <c r="S173" s="4">
        <v>45058</v>
      </c>
      <c r="T173" s="3" t="s">
        <v>282</v>
      </c>
      <c r="U173" s="3" t="s">
        <v>283</v>
      </c>
      <c r="V173" s="11" t="s">
        <v>84</v>
      </c>
      <c r="W173" s="11">
        <v>4</v>
      </c>
      <c r="X173" s="11" t="s">
        <v>92</v>
      </c>
      <c r="Y173" s="11">
        <v>4</v>
      </c>
      <c r="Z173">
        <v>2</v>
      </c>
      <c r="AA173" t="s">
        <v>92</v>
      </c>
      <c r="AB173" t="s">
        <v>284</v>
      </c>
      <c r="AC173" s="3" t="s">
        <v>78</v>
      </c>
      <c r="AD173" s="3">
        <v>6</v>
      </c>
      <c r="AE173">
        <v>2</v>
      </c>
      <c r="AF173" t="s">
        <v>92</v>
      </c>
      <c r="AG173" t="s">
        <v>706</v>
      </c>
      <c r="AH173" s="17" t="s">
        <v>707</v>
      </c>
      <c r="AI173" t="s">
        <v>708</v>
      </c>
      <c r="AJ173" s="18" t="s">
        <v>709</v>
      </c>
      <c r="AO173" s="10">
        <v>5.3596050000000002</v>
      </c>
      <c r="AP173" s="3">
        <v>37</v>
      </c>
      <c r="AQ173" s="3">
        <f t="shared" si="23"/>
        <v>198.305385</v>
      </c>
      <c r="BE173" s="3" t="s">
        <v>79</v>
      </c>
      <c r="BF173" s="3" t="s">
        <v>80</v>
      </c>
      <c r="BG173" s="3" t="s">
        <v>416</v>
      </c>
      <c r="BH173" s="3">
        <f t="shared" si="36"/>
        <v>3</v>
      </c>
      <c r="BI173" s="3" t="str">
        <f t="shared" si="30"/>
        <v>H2</v>
      </c>
      <c r="BJ173" s="3">
        <v>71</v>
      </c>
      <c r="BK173" s="3" t="str">
        <f t="shared" si="31"/>
        <v>F9</v>
      </c>
      <c r="BL173" s="3">
        <v>1.5</v>
      </c>
      <c r="BM173" s="3">
        <v>1.5</v>
      </c>
      <c r="BN173" s="3">
        <f t="shared" si="32"/>
        <v>5.3596049999999993</v>
      </c>
      <c r="BO173" s="3">
        <f t="shared" si="33"/>
        <v>3.8596049999999993</v>
      </c>
      <c r="BP173" s="3" t="s">
        <v>419</v>
      </c>
      <c r="BQ173">
        <v>9</v>
      </c>
      <c r="BR173" t="s">
        <v>88</v>
      </c>
      <c r="BS173" s="3">
        <v>1</v>
      </c>
      <c r="BT173" s="3" t="s">
        <v>418</v>
      </c>
      <c r="BU173" s="3">
        <v>2</v>
      </c>
      <c r="BV173" s="3" t="str">
        <f t="shared" si="34"/>
        <v>F9</v>
      </c>
      <c r="BW173" s="3">
        <f t="shared" si="35"/>
        <v>3.8596049999999993</v>
      </c>
      <c r="BX173" s="21" t="s">
        <v>417</v>
      </c>
      <c r="BY173" s="3" t="str">
        <f t="shared" si="24"/>
        <v>Och-C_DilutionPlate</v>
      </c>
      <c r="BZ173" s="3" t="str">
        <f t="shared" si="25"/>
        <v>F9</v>
      </c>
      <c r="CA173" s="3" t="str">
        <f t="shared" si="26"/>
        <v>Och-C</v>
      </c>
      <c r="CC173" s="3">
        <v>1.5</v>
      </c>
      <c r="CD173" t="s">
        <v>566</v>
      </c>
      <c r="CE173" s="21" t="str">
        <f t="shared" si="21"/>
        <v>OcC0201602H</v>
      </c>
      <c r="CF173" s="21" t="str">
        <f t="shared" si="27"/>
        <v>Och-CCat_016-Ex1-2H-lcwgs-1-1</v>
      </c>
      <c r="CG173" s="3">
        <f t="shared" si="37"/>
        <v>0.41980705667675144</v>
      </c>
      <c r="CH173">
        <v>1184063</v>
      </c>
      <c r="CI173">
        <v>882877</v>
      </c>
      <c r="CJ173" t="s">
        <v>185</v>
      </c>
      <c r="CK173" s="3">
        <v>0</v>
      </c>
      <c r="CL173"/>
      <c r="CM173" s="33"/>
    </row>
    <row r="174" spans="1:96" x14ac:dyDescent="0.55000000000000004">
      <c r="A174" t="s">
        <v>315</v>
      </c>
      <c r="B174" t="s">
        <v>316</v>
      </c>
      <c r="C174" s="3">
        <v>1</v>
      </c>
      <c r="E174" t="s">
        <v>281</v>
      </c>
      <c r="F174">
        <v>5</v>
      </c>
      <c r="G174" t="s">
        <v>76</v>
      </c>
      <c r="H174">
        <v>5.0668524133409818</v>
      </c>
      <c r="I174" s="3" t="s">
        <v>74</v>
      </c>
      <c r="J174" s="3">
        <v>0.1</v>
      </c>
      <c r="K174" s="3">
        <v>7.25</v>
      </c>
      <c r="L174" s="3">
        <v>0.33</v>
      </c>
      <c r="O174" s="3">
        <v>100</v>
      </c>
      <c r="P174" s="3">
        <v>19.736118568739204</v>
      </c>
      <c r="R174" s="3">
        <v>10</v>
      </c>
      <c r="S174" s="4">
        <v>45058</v>
      </c>
      <c r="T174" s="3" t="s">
        <v>282</v>
      </c>
      <c r="U174" s="3" t="s">
        <v>283</v>
      </c>
      <c r="V174" s="11" t="s">
        <v>73</v>
      </c>
      <c r="W174" s="11">
        <v>5</v>
      </c>
      <c r="X174" s="11" t="s">
        <v>87</v>
      </c>
      <c r="Y174" s="11">
        <v>5</v>
      </c>
      <c r="Z174">
        <v>3</v>
      </c>
      <c r="AA174" t="s">
        <v>73</v>
      </c>
      <c r="AB174" t="s">
        <v>284</v>
      </c>
      <c r="AC174" s="3" t="s">
        <v>78</v>
      </c>
      <c r="AD174" s="3">
        <v>6</v>
      </c>
      <c r="AE174">
        <v>3</v>
      </c>
      <c r="AF174" t="s">
        <v>73</v>
      </c>
      <c r="AG174" t="s">
        <v>614</v>
      </c>
      <c r="AH174" s="17" t="s">
        <v>615</v>
      </c>
      <c r="AI174" t="s">
        <v>684</v>
      </c>
      <c r="AJ174" s="18" t="s">
        <v>685</v>
      </c>
      <c r="AO174" s="10">
        <v>6.2178500000000003</v>
      </c>
      <c r="AP174" s="3">
        <v>37</v>
      </c>
      <c r="AQ174" s="3">
        <f t="shared" si="23"/>
        <v>230.06045</v>
      </c>
      <c r="BE174" s="3" t="s">
        <v>79</v>
      </c>
      <c r="BF174" s="3" t="s">
        <v>80</v>
      </c>
      <c r="BG174" s="3" t="s">
        <v>416</v>
      </c>
      <c r="BH174" s="3">
        <f t="shared" si="36"/>
        <v>3</v>
      </c>
      <c r="BI174" s="3" t="str">
        <f t="shared" si="30"/>
        <v>A3</v>
      </c>
      <c r="BJ174" s="3">
        <v>83</v>
      </c>
      <c r="BK174" s="3" t="str">
        <f t="shared" si="31"/>
        <v>B11</v>
      </c>
      <c r="BL174" s="3">
        <v>1.5</v>
      </c>
      <c r="BM174" s="3">
        <v>1.5</v>
      </c>
      <c r="BN174" s="3">
        <f t="shared" si="32"/>
        <v>6.2178500000000012</v>
      </c>
      <c r="BO174" s="3">
        <f t="shared" si="33"/>
        <v>4.7178500000000012</v>
      </c>
      <c r="BP174" s="3" t="s">
        <v>419</v>
      </c>
      <c r="BQ174">
        <v>11</v>
      </c>
      <c r="BR174" t="s">
        <v>76</v>
      </c>
      <c r="BS174" s="3">
        <v>1</v>
      </c>
      <c r="BT174" s="3" t="s">
        <v>418</v>
      </c>
      <c r="BU174" s="3">
        <v>2</v>
      </c>
      <c r="BV174" s="3" t="str">
        <f t="shared" si="34"/>
        <v>B11</v>
      </c>
      <c r="BW174" s="3">
        <f t="shared" si="35"/>
        <v>4.7178500000000012</v>
      </c>
      <c r="BX174" s="21" t="s">
        <v>417</v>
      </c>
      <c r="BY174" s="3" t="str">
        <f t="shared" si="24"/>
        <v>Och-C_DilutionPlate</v>
      </c>
      <c r="BZ174" s="3" t="str">
        <f t="shared" si="25"/>
        <v>B11</v>
      </c>
      <c r="CA174" s="3" t="str">
        <f t="shared" si="26"/>
        <v>Och-C</v>
      </c>
      <c r="CC174" s="3">
        <v>1.5</v>
      </c>
      <c r="CD174" t="s">
        <v>567</v>
      </c>
      <c r="CE174" s="21" t="str">
        <f t="shared" si="21"/>
        <v>OcC0201703A</v>
      </c>
      <c r="CF174" s="21" t="str">
        <f t="shared" si="27"/>
        <v>Och-CCat_017-Ex1-3A-lcwgs-1-1</v>
      </c>
      <c r="CG174" s="3">
        <f t="shared" si="37"/>
        <v>0.36186141511937397</v>
      </c>
      <c r="CH174">
        <v>3025175</v>
      </c>
      <c r="CI174">
        <v>2373067</v>
      </c>
      <c r="CJ174" t="s">
        <v>79</v>
      </c>
      <c r="CK174" s="3">
        <v>9.3634878861487998</v>
      </c>
      <c r="CL174" t="s">
        <v>1201</v>
      </c>
      <c r="CM174" s="33" t="s">
        <v>1775</v>
      </c>
      <c r="CN174" s="3" t="str">
        <f>B174&amp;"-"&amp;Z174&amp;AA174&amp;"-lcwgs-"&amp;C174&amp;"-2"</f>
        <v>Och-CCat_017-Ex1-3A-lcwgs-1-2</v>
      </c>
      <c r="CR174"/>
    </row>
    <row r="175" spans="1:96" x14ac:dyDescent="0.55000000000000004">
      <c r="A175" t="s">
        <v>317</v>
      </c>
      <c r="B175" t="s">
        <v>318</v>
      </c>
      <c r="C175" s="3">
        <v>1</v>
      </c>
      <c r="E175" t="s">
        <v>281</v>
      </c>
      <c r="F175">
        <v>6</v>
      </c>
      <c r="G175" t="s">
        <v>76</v>
      </c>
      <c r="H175">
        <v>3.5271736458247975</v>
      </c>
      <c r="I175" s="3" t="s">
        <v>74</v>
      </c>
      <c r="J175" s="3">
        <v>0.1</v>
      </c>
      <c r="K175" s="3">
        <v>7.25</v>
      </c>
      <c r="L175" s="3">
        <v>0.33</v>
      </c>
      <c r="O175" s="3">
        <v>100</v>
      </c>
      <c r="P175" s="3">
        <v>28.351311855137176</v>
      </c>
      <c r="R175" s="3">
        <v>10</v>
      </c>
      <c r="S175" s="4">
        <v>45058</v>
      </c>
      <c r="T175" s="3" t="s">
        <v>282</v>
      </c>
      <c r="U175" s="3" t="s">
        <v>283</v>
      </c>
      <c r="V175" s="11" t="s">
        <v>73</v>
      </c>
      <c r="W175" s="11">
        <v>6</v>
      </c>
      <c r="X175" s="11" t="s">
        <v>87</v>
      </c>
      <c r="Y175" s="11">
        <v>6</v>
      </c>
      <c r="Z175">
        <v>3</v>
      </c>
      <c r="AA175" t="s">
        <v>76</v>
      </c>
      <c r="AB175" t="s">
        <v>284</v>
      </c>
      <c r="AC175" s="3" t="s">
        <v>78</v>
      </c>
      <c r="AD175" s="3">
        <v>6</v>
      </c>
      <c r="AE175">
        <v>3</v>
      </c>
      <c r="AF175" t="s">
        <v>76</v>
      </c>
      <c r="AG175" t="s">
        <v>640</v>
      </c>
      <c r="AH175" s="17" t="s">
        <v>641</v>
      </c>
      <c r="AI175" t="s">
        <v>684</v>
      </c>
      <c r="AJ175" s="18" t="s">
        <v>685</v>
      </c>
      <c r="AO175" s="10">
        <v>5.1655990000000003</v>
      </c>
      <c r="AP175" s="3">
        <v>37</v>
      </c>
      <c r="AQ175" s="3">
        <f t="shared" si="23"/>
        <v>191.127163</v>
      </c>
      <c r="BE175" s="3" t="s">
        <v>79</v>
      </c>
      <c r="BF175" s="3" t="s">
        <v>80</v>
      </c>
      <c r="BG175" s="3" t="s">
        <v>416</v>
      </c>
      <c r="BH175" s="3">
        <f t="shared" si="36"/>
        <v>3</v>
      </c>
      <c r="BI175" s="3" t="str">
        <f t="shared" si="30"/>
        <v>B3</v>
      </c>
      <c r="BJ175" s="3">
        <v>67</v>
      </c>
      <c r="BK175" s="3" t="str">
        <f t="shared" si="31"/>
        <v>B9</v>
      </c>
      <c r="BL175" s="3">
        <v>1.5</v>
      </c>
      <c r="BM175" s="3">
        <v>1.5</v>
      </c>
      <c r="BN175" s="3">
        <f t="shared" si="32"/>
        <v>5.1655990000000003</v>
      </c>
      <c r="BO175" s="3">
        <f t="shared" si="33"/>
        <v>3.6655990000000003</v>
      </c>
      <c r="BP175" s="3" t="s">
        <v>419</v>
      </c>
      <c r="BQ175">
        <v>9</v>
      </c>
      <c r="BR175" t="s">
        <v>76</v>
      </c>
      <c r="BS175" s="3">
        <v>1</v>
      </c>
      <c r="BT175" s="3" t="s">
        <v>418</v>
      </c>
      <c r="BU175" s="3">
        <v>2</v>
      </c>
      <c r="BV175" s="3" t="str">
        <f t="shared" si="34"/>
        <v>B9</v>
      </c>
      <c r="BW175" s="3">
        <f t="shared" si="35"/>
        <v>3.6655990000000003</v>
      </c>
      <c r="BX175" s="21" t="s">
        <v>417</v>
      </c>
      <c r="BY175" s="3" t="str">
        <f t="shared" si="24"/>
        <v>Och-C_DilutionPlate</v>
      </c>
      <c r="BZ175" s="3" t="str">
        <f t="shared" si="25"/>
        <v>B9</v>
      </c>
      <c r="CA175" s="3" t="str">
        <f t="shared" si="26"/>
        <v>Och-C</v>
      </c>
      <c r="CC175" s="3">
        <v>1.5</v>
      </c>
      <c r="CD175" t="s">
        <v>568</v>
      </c>
      <c r="CE175" s="21" t="str">
        <f t="shared" si="21"/>
        <v>OcC0201803B</v>
      </c>
      <c r="CF175" s="21" t="str">
        <f t="shared" si="27"/>
        <v>Och-CCat_018-Ex1-3B-lcwgs-1-1</v>
      </c>
      <c r="CG175" s="3">
        <f t="shared" si="37"/>
        <v>0.43557388020247023</v>
      </c>
      <c r="CH175">
        <v>1477475</v>
      </c>
      <c r="CI175">
        <v>1159496</v>
      </c>
      <c r="CJ175" t="s">
        <v>185</v>
      </c>
      <c r="CK175" s="3">
        <v>0</v>
      </c>
      <c r="CL175"/>
      <c r="CM175" s="33"/>
    </row>
    <row r="176" spans="1:96" x14ac:dyDescent="0.55000000000000004">
      <c r="A176" t="s">
        <v>319</v>
      </c>
      <c r="B176" t="s">
        <v>320</v>
      </c>
      <c r="C176" s="3">
        <v>1</v>
      </c>
      <c r="E176" t="s">
        <v>281</v>
      </c>
      <c r="F176">
        <v>7</v>
      </c>
      <c r="G176" t="s">
        <v>76</v>
      </c>
      <c r="H176">
        <v>1.2314226009997542</v>
      </c>
      <c r="I176" s="3" t="s">
        <v>74</v>
      </c>
      <c r="J176" s="3">
        <v>0.1</v>
      </c>
      <c r="K176" s="3">
        <v>7.25</v>
      </c>
      <c r="L176" s="3">
        <v>0.33</v>
      </c>
      <c r="O176" s="3">
        <v>55.414017044988938</v>
      </c>
      <c r="P176" s="3">
        <v>45</v>
      </c>
      <c r="R176" s="3">
        <v>10</v>
      </c>
      <c r="S176" s="4">
        <v>45058</v>
      </c>
      <c r="T176" s="3" t="s">
        <v>282</v>
      </c>
      <c r="U176" s="3" t="s">
        <v>283</v>
      </c>
      <c r="V176" s="11" t="s">
        <v>76</v>
      </c>
      <c r="W176" s="11">
        <v>5</v>
      </c>
      <c r="X176" s="11" t="s">
        <v>88</v>
      </c>
      <c r="Y176" s="11">
        <v>5</v>
      </c>
      <c r="Z176">
        <v>3</v>
      </c>
      <c r="AA176" t="s">
        <v>83</v>
      </c>
      <c r="AB176" t="s">
        <v>284</v>
      </c>
      <c r="AC176" s="3" t="s">
        <v>78</v>
      </c>
      <c r="AD176" s="3">
        <v>6</v>
      </c>
      <c r="AE176">
        <v>3</v>
      </c>
      <c r="AF176" t="s">
        <v>83</v>
      </c>
      <c r="AG176" t="s">
        <v>642</v>
      </c>
      <c r="AH176" s="17" t="s">
        <v>643</v>
      </c>
      <c r="AI176" t="s">
        <v>684</v>
      </c>
      <c r="AJ176" s="18" t="s">
        <v>685</v>
      </c>
      <c r="AO176" s="10">
        <v>5.3629860000000003</v>
      </c>
      <c r="AP176" s="3">
        <v>37</v>
      </c>
      <c r="AQ176" s="3">
        <f t="shared" si="23"/>
        <v>198.43048200000001</v>
      </c>
      <c r="BE176" s="3" t="s">
        <v>79</v>
      </c>
      <c r="BF176" s="3" t="s">
        <v>80</v>
      </c>
      <c r="BG176" s="3" t="s">
        <v>416</v>
      </c>
      <c r="BH176" s="3">
        <f t="shared" si="36"/>
        <v>3</v>
      </c>
      <c r="BI176" s="3" t="str">
        <f t="shared" si="30"/>
        <v>C3</v>
      </c>
      <c r="BJ176" s="3">
        <v>72</v>
      </c>
      <c r="BK176" s="3" t="str">
        <f t="shared" si="31"/>
        <v>G9</v>
      </c>
      <c r="BL176" s="3">
        <v>1.5</v>
      </c>
      <c r="BM176" s="3">
        <v>1.5</v>
      </c>
      <c r="BN176" s="3">
        <f t="shared" si="32"/>
        <v>5.3629860000000003</v>
      </c>
      <c r="BO176" s="3">
        <f t="shared" si="33"/>
        <v>3.8629860000000003</v>
      </c>
      <c r="BP176" s="3" t="s">
        <v>419</v>
      </c>
      <c r="BQ176">
        <v>9</v>
      </c>
      <c r="BR176" t="s">
        <v>91</v>
      </c>
      <c r="BS176" s="3">
        <v>1</v>
      </c>
      <c r="BT176" s="3" t="s">
        <v>418</v>
      </c>
      <c r="BU176" s="3">
        <v>2</v>
      </c>
      <c r="BV176" s="3" t="str">
        <f t="shared" si="34"/>
        <v>G9</v>
      </c>
      <c r="BW176" s="3">
        <f t="shared" si="35"/>
        <v>3.8629860000000003</v>
      </c>
      <c r="BX176" s="21" t="s">
        <v>417</v>
      </c>
      <c r="BY176" s="3" t="str">
        <f t="shared" si="24"/>
        <v>Och-C_DilutionPlate</v>
      </c>
      <c r="BZ176" s="3" t="str">
        <f t="shared" si="25"/>
        <v>G9</v>
      </c>
      <c r="CA176" s="3" t="str">
        <f t="shared" si="26"/>
        <v>Och-C</v>
      </c>
      <c r="CC176" s="3">
        <v>1.5</v>
      </c>
      <c r="CD176" t="s">
        <v>569</v>
      </c>
      <c r="CE176" s="21" t="str">
        <f t="shared" si="21"/>
        <v>OcC0201903C</v>
      </c>
      <c r="CF176" s="21" t="str">
        <f t="shared" si="27"/>
        <v>Och-CCat_019-Ex1-3C-lcwgs-1-1</v>
      </c>
      <c r="CG176" s="3">
        <f t="shared" si="37"/>
        <v>0.41954239671705273</v>
      </c>
      <c r="CH176">
        <v>3237974</v>
      </c>
      <c r="CI176">
        <v>2599403</v>
      </c>
      <c r="CJ176" t="s">
        <v>79</v>
      </c>
      <c r="CK176" s="3">
        <v>9.8509477160473917</v>
      </c>
      <c r="CL176" t="s">
        <v>1201</v>
      </c>
      <c r="CM176" s="33" t="s">
        <v>1776</v>
      </c>
      <c r="CN176" s="3" t="str">
        <f>B176&amp;"-"&amp;Z176&amp;AA176&amp;"-lcwgs-"&amp;C176&amp;"-2"</f>
        <v>Och-CCat_019-Ex1-3C-lcwgs-1-2</v>
      </c>
      <c r="CR176"/>
    </row>
    <row r="177" spans="1:96" x14ac:dyDescent="0.55000000000000004">
      <c r="A177" t="s">
        <v>321</v>
      </c>
      <c r="B177" t="s">
        <v>322</v>
      </c>
      <c r="C177" s="3">
        <v>1</v>
      </c>
      <c r="E177" t="s">
        <v>281</v>
      </c>
      <c r="F177">
        <v>8</v>
      </c>
      <c r="G177" t="s">
        <v>76</v>
      </c>
      <c r="H177">
        <v>1.4107965254445629</v>
      </c>
      <c r="I177" s="3" t="s">
        <v>74</v>
      </c>
      <c r="J177" s="3">
        <v>0.1</v>
      </c>
      <c r="K177" s="3">
        <v>7.25</v>
      </c>
      <c r="L177" s="3">
        <v>0.33</v>
      </c>
      <c r="O177" s="3">
        <v>63.485843645005332</v>
      </c>
      <c r="P177" s="3">
        <v>45</v>
      </c>
      <c r="R177" s="3">
        <v>10</v>
      </c>
      <c r="S177" s="4">
        <v>45058</v>
      </c>
      <c r="T177" s="3" t="s">
        <v>282</v>
      </c>
      <c r="U177" s="3" t="s">
        <v>283</v>
      </c>
      <c r="V177" s="11" t="s">
        <v>76</v>
      </c>
      <c r="W177" s="11">
        <v>6</v>
      </c>
      <c r="X177" s="11" t="s">
        <v>88</v>
      </c>
      <c r="Y177" s="11">
        <v>6</v>
      </c>
      <c r="Z177">
        <v>3</v>
      </c>
      <c r="AA177" t="s">
        <v>84</v>
      </c>
      <c r="AB177" t="s">
        <v>284</v>
      </c>
      <c r="AC177" s="3" t="s">
        <v>78</v>
      </c>
      <c r="AD177" s="3">
        <v>6</v>
      </c>
      <c r="AE177">
        <v>3</v>
      </c>
      <c r="AF177" t="s">
        <v>84</v>
      </c>
      <c r="AG177" t="s">
        <v>644</v>
      </c>
      <c r="AH177" s="17" t="s">
        <v>645</v>
      </c>
      <c r="AI177" t="s">
        <v>684</v>
      </c>
      <c r="AJ177" s="18" t="s">
        <v>685</v>
      </c>
      <c r="AO177" s="10">
        <v>5.8474209999999998</v>
      </c>
      <c r="AP177" s="3">
        <v>37</v>
      </c>
      <c r="AQ177" s="3">
        <f t="shared" si="23"/>
        <v>216.35457699999998</v>
      </c>
      <c r="BE177" s="3" t="s">
        <v>79</v>
      </c>
      <c r="BF177" s="3" t="s">
        <v>80</v>
      </c>
      <c r="BG177" s="3" t="s">
        <v>416</v>
      </c>
      <c r="BH177" s="3">
        <f t="shared" si="36"/>
        <v>3</v>
      </c>
      <c r="BI177" s="3" t="str">
        <f t="shared" si="30"/>
        <v>D3</v>
      </c>
      <c r="BJ177" s="3">
        <v>77</v>
      </c>
      <c r="BK177" s="3" t="str">
        <f t="shared" si="31"/>
        <v>D10</v>
      </c>
      <c r="BL177" s="3">
        <v>1.5</v>
      </c>
      <c r="BM177" s="3">
        <v>1.5</v>
      </c>
      <c r="BN177" s="3">
        <f t="shared" si="32"/>
        <v>5.8474209999999998</v>
      </c>
      <c r="BO177" s="3">
        <f t="shared" si="33"/>
        <v>4.3474209999999998</v>
      </c>
      <c r="BP177" s="3" t="s">
        <v>419</v>
      </c>
      <c r="BQ177">
        <v>10</v>
      </c>
      <c r="BR177" t="s">
        <v>84</v>
      </c>
      <c r="BS177" s="3">
        <v>1</v>
      </c>
      <c r="BT177" s="3" t="s">
        <v>418</v>
      </c>
      <c r="BU177" s="3">
        <v>2</v>
      </c>
      <c r="BV177" s="3" t="str">
        <f t="shared" si="34"/>
        <v>D10</v>
      </c>
      <c r="BW177" s="3">
        <f t="shared" si="35"/>
        <v>4.3474209999999998</v>
      </c>
      <c r="BX177" s="21" t="s">
        <v>417</v>
      </c>
      <c r="BY177" s="3" t="str">
        <f t="shared" si="24"/>
        <v>Och-C_DilutionPlate</v>
      </c>
      <c r="BZ177" s="3" t="str">
        <f t="shared" si="25"/>
        <v>D10</v>
      </c>
      <c r="CA177" s="3" t="str">
        <f t="shared" si="26"/>
        <v>Och-C</v>
      </c>
      <c r="CC177" s="3">
        <v>1.5</v>
      </c>
      <c r="CD177" t="s">
        <v>570</v>
      </c>
      <c r="CE177" s="21" t="str">
        <f t="shared" si="21"/>
        <v>OcC0202003D</v>
      </c>
      <c r="CF177" s="21" t="str">
        <f t="shared" si="27"/>
        <v>Och-CCat_020-Ex1-3D-lcwgs-1-1</v>
      </c>
      <c r="CG177" s="3">
        <f t="shared" si="37"/>
        <v>0.38478501889978506</v>
      </c>
      <c r="CH177">
        <v>1650201</v>
      </c>
      <c r="CI177">
        <v>1344229</v>
      </c>
      <c r="CJ177" t="s">
        <v>79</v>
      </c>
      <c r="CK177" s="3">
        <v>18.059543007300185</v>
      </c>
      <c r="CL177" t="s">
        <v>1201</v>
      </c>
      <c r="CM177" s="33" t="s">
        <v>1777</v>
      </c>
      <c r="CN177" s="3" t="str">
        <f>B177&amp;"-"&amp;Z177&amp;AA177&amp;"-lcwgs-"&amp;C177&amp;"-2"</f>
        <v>Och-CCat_020-Ex1-3D-lcwgs-1-2</v>
      </c>
      <c r="CR177"/>
    </row>
    <row r="178" spans="1:96" x14ac:dyDescent="0.55000000000000004">
      <c r="A178" t="s">
        <v>323</v>
      </c>
      <c r="B178" t="s">
        <v>324</v>
      </c>
      <c r="C178" s="3">
        <v>1</v>
      </c>
      <c r="E178" t="s">
        <v>281</v>
      </c>
      <c r="F178">
        <v>9</v>
      </c>
      <c r="G178" t="s">
        <v>76</v>
      </c>
      <c r="H178">
        <v>3.5212201917561257</v>
      </c>
      <c r="I178" s="3" t="s">
        <v>74</v>
      </c>
      <c r="J178" s="3">
        <v>0.1</v>
      </c>
      <c r="K178" s="3">
        <v>7.25</v>
      </c>
      <c r="L178" s="3">
        <v>0.33</v>
      </c>
      <c r="O178" s="3">
        <v>100</v>
      </c>
      <c r="P178" s="3">
        <v>28.399246441367062</v>
      </c>
      <c r="R178" s="3">
        <v>10</v>
      </c>
      <c r="S178" s="4">
        <v>45058</v>
      </c>
      <c r="T178" s="3" t="s">
        <v>282</v>
      </c>
      <c r="U178" s="3" t="s">
        <v>283</v>
      </c>
      <c r="V178" s="11" t="s">
        <v>83</v>
      </c>
      <c r="W178" s="11">
        <v>5</v>
      </c>
      <c r="X178" s="11" t="s">
        <v>91</v>
      </c>
      <c r="Y178" s="11">
        <v>5</v>
      </c>
      <c r="Z178">
        <v>3</v>
      </c>
      <c r="AA178" t="s">
        <v>87</v>
      </c>
      <c r="AB178" t="s">
        <v>284</v>
      </c>
      <c r="AC178" s="3" t="s">
        <v>78</v>
      </c>
      <c r="AD178" s="3">
        <v>6</v>
      </c>
      <c r="AE178">
        <v>3</v>
      </c>
      <c r="AF178" t="s">
        <v>87</v>
      </c>
      <c r="AG178" t="s">
        <v>646</v>
      </c>
      <c r="AH178" s="17" t="s">
        <v>647</v>
      </c>
      <c r="AI178" t="s">
        <v>684</v>
      </c>
      <c r="AJ178" s="18" t="s">
        <v>685</v>
      </c>
      <c r="AO178" s="10">
        <v>4.5888900000000001</v>
      </c>
      <c r="AP178" s="3">
        <v>37</v>
      </c>
      <c r="AQ178" s="3">
        <f t="shared" si="23"/>
        <v>169.78892999999999</v>
      </c>
      <c r="BE178" s="3" t="s">
        <v>79</v>
      </c>
      <c r="BF178" s="3" t="s">
        <v>80</v>
      </c>
      <c r="BG178" s="3" t="s">
        <v>416</v>
      </c>
      <c r="BH178" s="3">
        <f t="shared" si="36"/>
        <v>3</v>
      </c>
      <c r="BI178" s="3" t="str">
        <f t="shared" si="30"/>
        <v>E3</v>
      </c>
      <c r="BJ178" s="3">
        <v>59</v>
      </c>
      <c r="BK178" s="3" t="str">
        <f t="shared" si="31"/>
        <v>B8</v>
      </c>
      <c r="BL178" s="3">
        <v>1.5</v>
      </c>
      <c r="BM178" s="3">
        <v>1.5</v>
      </c>
      <c r="BN178" s="3">
        <f t="shared" si="32"/>
        <v>4.5888900000000001</v>
      </c>
      <c r="BO178" s="3">
        <f t="shared" si="33"/>
        <v>3.0888900000000001</v>
      </c>
      <c r="BP178" s="3" t="s">
        <v>419</v>
      </c>
      <c r="BQ178">
        <v>8</v>
      </c>
      <c r="BR178" t="s">
        <v>76</v>
      </c>
      <c r="BS178" s="3">
        <v>1</v>
      </c>
      <c r="BT178" s="3" t="s">
        <v>418</v>
      </c>
      <c r="BU178" s="3">
        <v>2</v>
      </c>
      <c r="BV178" s="3" t="str">
        <f t="shared" si="34"/>
        <v>B8</v>
      </c>
      <c r="BW178" s="3">
        <f t="shared" si="35"/>
        <v>3.0888900000000001</v>
      </c>
      <c r="BX178" s="21" t="s">
        <v>417</v>
      </c>
      <c r="BY178" s="3" t="str">
        <f t="shared" si="24"/>
        <v>Och-C_DilutionPlate</v>
      </c>
      <c r="BZ178" s="3" t="str">
        <f t="shared" si="25"/>
        <v>B8</v>
      </c>
      <c r="CA178" s="3" t="str">
        <f t="shared" si="26"/>
        <v>Och-C</v>
      </c>
      <c r="CC178" s="3">
        <v>1.5</v>
      </c>
      <c r="CD178" t="s">
        <v>571</v>
      </c>
      <c r="CE178" s="21" t="str">
        <f t="shared" si="21"/>
        <v>OcC0202103E</v>
      </c>
      <c r="CF178" s="21" t="str">
        <f t="shared" si="27"/>
        <v>Och-CCat_021-Ex1-3E-lcwgs-1-1</v>
      </c>
      <c r="CG178" s="3">
        <f t="shared" si="37"/>
        <v>0.49031465125553231</v>
      </c>
      <c r="CH178">
        <v>1749333</v>
      </c>
      <c r="CI178">
        <v>1419661</v>
      </c>
      <c r="CJ178" t="s">
        <v>79</v>
      </c>
      <c r="CK178" s="3">
        <v>21.747074946279479</v>
      </c>
      <c r="CL178" t="s">
        <v>1201</v>
      </c>
      <c r="CM178" s="33" t="s">
        <v>1778</v>
      </c>
      <c r="CN178" s="3" t="str">
        <f>B178&amp;"-"&amp;Z178&amp;AA178&amp;"-lcwgs-"&amp;C178&amp;"-2"</f>
        <v>Och-CCat_021-Ex1-3E-lcwgs-1-2</v>
      </c>
      <c r="CR178"/>
    </row>
    <row r="179" spans="1:96" x14ac:dyDescent="0.55000000000000004">
      <c r="A179" t="s">
        <v>325</v>
      </c>
      <c r="B179" t="s">
        <v>326</v>
      </c>
      <c r="C179" s="3">
        <v>1</v>
      </c>
      <c r="E179" t="s">
        <v>281</v>
      </c>
      <c r="F179">
        <v>10</v>
      </c>
      <c r="G179" t="s">
        <v>76</v>
      </c>
      <c r="H179">
        <v>6.0427968532328116</v>
      </c>
      <c r="I179" s="3" t="s">
        <v>74</v>
      </c>
      <c r="J179" s="3">
        <v>0.1</v>
      </c>
      <c r="K179" s="3">
        <v>7.25</v>
      </c>
      <c r="L179" s="3">
        <v>0.33</v>
      </c>
      <c r="O179" s="3">
        <v>100</v>
      </c>
      <c r="P179" s="3">
        <v>16.548628462745924</v>
      </c>
      <c r="R179" s="3">
        <v>10</v>
      </c>
      <c r="S179" s="4">
        <v>45058</v>
      </c>
      <c r="T179" s="3" t="s">
        <v>282</v>
      </c>
      <c r="U179" s="3" t="s">
        <v>283</v>
      </c>
      <c r="V179" s="11" t="s">
        <v>83</v>
      </c>
      <c r="W179" s="11">
        <v>6</v>
      </c>
      <c r="X179" s="11" t="s">
        <v>91</v>
      </c>
      <c r="Y179" s="11">
        <v>6</v>
      </c>
      <c r="Z179">
        <v>3</v>
      </c>
      <c r="AA179" t="s">
        <v>88</v>
      </c>
      <c r="AB179" t="s">
        <v>284</v>
      </c>
      <c r="AC179" s="3" t="s">
        <v>78</v>
      </c>
      <c r="AD179" s="3">
        <v>6</v>
      </c>
      <c r="AE179">
        <v>3</v>
      </c>
      <c r="AF179" t="s">
        <v>88</v>
      </c>
      <c r="AG179" t="s">
        <v>648</v>
      </c>
      <c r="AH179" s="17" t="s">
        <v>649</v>
      </c>
      <c r="AI179" t="s">
        <v>684</v>
      </c>
      <c r="AJ179" s="18" t="s">
        <v>685</v>
      </c>
      <c r="AO179" s="10">
        <v>3.7549839999999999</v>
      </c>
      <c r="AP179" s="3">
        <v>37</v>
      </c>
      <c r="AQ179" s="3">
        <f t="shared" si="23"/>
        <v>138.93440799999999</v>
      </c>
      <c r="BE179" s="3" t="s">
        <v>79</v>
      </c>
      <c r="BF179" s="3" t="s">
        <v>80</v>
      </c>
      <c r="BG179" s="3" t="s">
        <v>416</v>
      </c>
      <c r="BH179" s="3">
        <f t="shared" si="36"/>
        <v>3</v>
      </c>
      <c r="BI179" s="3" t="str">
        <f t="shared" si="30"/>
        <v>F3</v>
      </c>
      <c r="BJ179" s="3">
        <v>34</v>
      </c>
      <c r="BK179" s="3" t="str">
        <f t="shared" si="31"/>
        <v>A5</v>
      </c>
      <c r="BL179" s="3">
        <v>1.5</v>
      </c>
      <c r="BM179" s="3">
        <v>1.5</v>
      </c>
      <c r="BN179" s="3">
        <f t="shared" si="32"/>
        <v>3.7549839999999999</v>
      </c>
      <c r="BO179" s="3">
        <f t="shared" si="33"/>
        <v>2.2549839999999999</v>
      </c>
      <c r="BP179" s="3" t="s">
        <v>419</v>
      </c>
      <c r="BQ179">
        <v>5</v>
      </c>
      <c r="BR179" t="s">
        <v>73</v>
      </c>
      <c r="BS179" s="3">
        <v>1</v>
      </c>
      <c r="BT179" s="3" t="s">
        <v>418</v>
      </c>
      <c r="BU179" s="3">
        <v>2</v>
      </c>
      <c r="BV179" s="3" t="str">
        <f t="shared" si="34"/>
        <v>A5</v>
      </c>
      <c r="BW179" s="3">
        <f t="shared" si="35"/>
        <v>2.2549839999999999</v>
      </c>
      <c r="BX179" s="21" t="s">
        <v>417</v>
      </c>
      <c r="BY179" s="3" t="str">
        <f t="shared" si="24"/>
        <v>Och-C_DilutionPlate</v>
      </c>
      <c r="BZ179" s="3" t="str">
        <f t="shared" si="25"/>
        <v>A5</v>
      </c>
      <c r="CA179" s="3" t="str">
        <f t="shared" si="26"/>
        <v>Och-C</v>
      </c>
      <c r="CC179" s="3">
        <v>1.5</v>
      </c>
      <c r="CD179" t="s">
        <v>572</v>
      </c>
      <c r="CE179" s="21" t="str">
        <f t="shared" si="21"/>
        <v>OcC0202203F</v>
      </c>
      <c r="CF179" s="21" t="str">
        <f t="shared" si="27"/>
        <v>Och-CCat_022-Ex1-3F-lcwgs-1-1</v>
      </c>
      <c r="CG179" s="3">
        <f t="shared" si="37"/>
        <v>0.5992036184441798</v>
      </c>
      <c r="CH179">
        <v>1626164</v>
      </c>
      <c r="CI179">
        <v>1329414</v>
      </c>
      <c r="CJ179" t="s">
        <v>185</v>
      </c>
      <c r="CK179" s="3">
        <v>0</v>
      </c>
      <c r="CL179"/>
      <c r="CM179" s="33"/>
    </row>
    <row r="180" spans="1:96" x14ac:dyDescent="0.55000000000000004">
      <c r="A180" t="s">
        <v>340</v>
      </c>
      <c r="B180" t="s">
        <v>341</v>
      </c>
      <c r="C180" s="3">
        <v>1</v>
      </c>
      <c r="E180" t="s">
        <v>329</v>
      </c>
      <c r="F180">
        <v>1</v>
      </c>
      <c r="G180" t="s">
        <v>73</v>
      </c>
      <c r="H180">
        <v>1.8940670740372316</v>
      </c>
      <c r="I180" s="3" t="s">
        <v>74</v>
      </c>
      <c r="J180" s="3">
        <v>0.1</v>
      </c>
      <c r="K180" s="3">
        <v>7.25</v>
      </c>
      <c r="L180" s="3">
        <v>0.33</v>
      </c>
      <c r="O180" s="3">
        <v>85.233018331675424</v>
      </c>
      <c r="P180" s="3">
        <v>45</v>
      </c>
      <c r="R180" s="3">
        <v>10</v>
      </c>
      <c r="S180" s="4">
        <v>45058</v>
      </c>
      <c r="T180" s="3" t="s">
        <v>282</v>
      </c>
      <c r="U180" s="3" t="s">
        <v>283</v>
      </c>
      <c r="V180" s="11" t="s">
        <v>83</v>
      </c>
      <c r="W180" s="11">
        <v>7</v>
      </c>
      <c r="X180" s="11" t="s">
        <v>91</v>
      </c>
      <c r="Y180" s="11">
        <v>7</v>
      </c>
      <c r="Z180">
        <v>4</v>
      </c>
      <c r="AA180" t="s">
        <v>87</v>
      </c>
      <c r="AB180" t="s">
        <v>284</v>
      </c>
      <c r="AC180" s="3" t="s">
        <v>78</v>
      </c>
      <c r="AD180" s="3">
        <v>6</v>
      </c>
      <c r="AE180">
        <v>4</v>
      </c>
      <c r="AF180" t="s">
        <v>87</v>
      </c>
      <c r="AG180" t="s">
        <v>646</v>
      </c>
      <c r="AH180" s="17" t="s">
        <v>647</v>
      </c>
      <c r="AI180" t="s">
        <v>698</v>
      </c>
      <c r="AJ180" s="18" t="s">
        <v>699</v>
      </c>
      <c r="AO180" s="10">
        <v>5.7039439999999999</v>
      </c>
      <c r="AP180" s="3">
        <v>37</v>
      </c>
      <c r="AQ180" s="3">
        <f t="shared" si="23"/>
        <v>211.045928</v>
      </c>
      <c r="BE180" s="3" t="s">
        <v>79</v>
      </c>
      <c r="BF180" s="3" t="s">
        <v>80</v>
      </c>
      <c r="BG180" s="3" t="s">
        <v>416</v>
      </c>
      <c r="BH180" s="3">
        <f t="shared" si="36"/>
        <v>3</v>
      </c>
      <c r="BI180" s="3" t="str">
        <f t="shared" si="30"/>
        <v>E4</v>
      </c>
      <c r="BJ180" s="3">
        <v>76</v>
      </c>
      <c r="BK180" s="3" t="str">
        <f t="shared" si="31"/>
        <v>C10</v>
      </c>
      <c r="BL180" s="3">
        <v>1.5</v>
      </c>
      <c r="BM180" s="3">
        <v>1.5</v>
      </c>
      <c r="BN180" s="3">
        <f t="shared" si="32"/>
        <v>5.7039439999999999</v>
      </c>
      <c r="BO180" s="3">
        <f t="shared" si="33"/>
        <v>4.2039439999999999</v>
      </c>
      <c r="BP180" s="3" t="s">
        <v>419</v>
      </c>
      <c r="BQ180">
        <v>10</v>
      </c>
      <c r="BR180" t="s">
        <v>83</v>
      </c>
      <c r="BS180" s="3">
        <v>1</v>
      </c>
      <c r="BT180" s="3" t="s">
        <v>418</v>
      </c>
      <c r="BU180" s="3">
        <v>2</v>
      </c>
      <c r="BV180" s="3" t="str">
        <f t="shared" si="34"/>
        <v>C10</v>
      </c>
      <c r="BW180" s="3">
        <f t="shared" si="35"/>
        <v>4.2039439999999999</v>
      </c>
      <c r="BX180" s="21" t="s">
        <v>417</v>
      </c>
      <c r="BY180" s="3" t="str">
        <f t="shared" si="24"/>
        <v>Och-C_DilutionPlate</v>
      </c>
      <c r="BZ180" s="3" t="str">
        <f t="shared" si="25"/>
        <v>C10</v>
      </c>
      <c r="CA180" s="3" t="str">
        <f t="shared" si="26"/>
        <v>Och-C</v>
      </c>
      <c r="CC180" s="3">
        <v>1.5</v>
      </c>
      <c r="CD180" t="s">
        <v>579</v>
      </c>
      <c r="CE180" s="21" t="str">
        <f t="shared" si="21"/>
        <v>OcC0202304E</v>
      </c>
      <c r="CF180" s="21" t="str">
        <f t="shared" si="27"/>
        <v>Och-CCat_023-Ex1-4E-lcwgs-1-1</v>
      </c>
      <c r="CG180" s="3">
        <f t="shared" si="37"/>
        <v>0.39446390076760929</v>
      </c>
      <c r="CH180">
        <v>4026538</v>
      </c>
      <c r="CI180">
        <v>3106134</v>
      </c>
      <c r="CJ180" t="s">
        <v>79</v>
      </c>
      <c r="CK180" s="3">
        <v>7.6456992996256883</v>
      </c>
      <c r="CL180" t="s">
        <v>1201</v>
      </c>
      <c r="CM180" s="33" t="s">
        <v>1779</v>
      </c>
      <c r="CN180" s="3" t="str">
        <f t="shared" ref="CN180:CN195" si="38">B180&amp;"-"&amp;Z180&amp;AA180&amp;"-lcwgs-"&amp;C180&amp;"-2"</f>
        <v>Och-CCat_023-Ex1-4E-lcwgs-1-2</v>
      </c>
      <c r="CR180"/>
    </row>
    <row r="181" spans="1:96" x14ac:dyDescent="0.55000000000000004">
      <c r="A181" t="s">
        <v>360</v>
      </c>
      <c r="B181" t="s">
        <v>361</v>
      </c>
      <c r="C181" s="3">
        <v>1</v>
      </c>
      <c r="E181" t="s">
        <v>329</v>
      </c>
      <c r="F181">
        <v>2</v>
      </c>
      <c r="G181" t="s">
        <v>73</v>
      </c>
      <c r="H181">
        <v>2.8544123916441659</v>
      </c>
      <c r="I181" s="3" t="s">
        <v>74</v>
      </c>
      <c r="J181" s="3">
        <v>0.1</v>
      </c>
      <c r="K181" s="3">
        <v>7.25</v>
      </c>
      <c r="L181" s="3">
        <v>0.33</v>
      </c>
      <c r="O181" s="3">
        <v>100</v>
      </c>
      <c r="P181" s="3">
        <v>35.033480198143039</v>
      </c>
      <c r="R181" s="3">
        <v>10</v>
      </c>
      <c r="S181" s="4">
        <v>45058</v>
      </c>
      <c r="T181" s="3" t="s">
        <v>282</v>
      </c>
      <c r="U181" s="3" t="s">
        <v>283</v>
      </c>
      <c r="V181" s="11" t="s">
        <v>84</v>
      </c>
      <c r="W181" s="11">
        <v>9</v>
      </c>
      <c r="X181" s="11" t="s">
        <v>92</v>
      </c>
      <c r="Y181" s="11">
        <v>9</v>
      </c>
      <c r="Z181">
        <v>5</v>
      </c>
      <c r="AA181" t="s">
        <v>91</v>
      </c>
      <c r="AB181" t="s">
        <v>284</v>
      </c>
      <c r="AC181" s="3" t="s">
        <v>78</v>
      </c>
      <c r="AD181" s="3">
        <v>6</v>
      </c>
      <c r="AE181">
        <v>5</v>
      </c>
      <c r="AF181" t="s">
        <v>91</v>
      </c>
      <c r="AG181" t="s">
        <v>650</v>
      </c>
      <c r="AH181" s="17" t="s">
        <v>651</v>
      </c>
      <c r="AI181" t="s">
        <v>654</v>
      </c>
      <c r="AJ181" s="18" t="s">
        <v>655</v>
      </c>
      <c r="AO181" s="10">
        <v>5.3392559999999998</v>
      </c>
      <c r="AP181" s="3">
        <v>37</v>
      </c>
      <c r="AQ181" s="3">
        <f t="shared" si="23"/>
        <v>197.55247199999999</v>
      </c>
      <c r="BE181" s="3" t="s">
        <v>79</v>
      </c>
      <c r="BF181" s="3" t="s">
        <v>80</v>
      </c>
      <c r="BG181" s="3" t="s">
        <v>416</v>
      </c>
      <c r="BH181" s="3">
        <f t="shared" si="36"/>
        <v>3</v>
      </c>
      <c r="BI181" s="3" t="str">
        <f t="shared" si="30"/>
        <v>G5</v>
      </c>
      <c r="BJ181" s="3">
        <v>70</v>
      </c>
      <c r="BK181" s="3" t="str">
        <f t="shared" si="31"/>
        <v>E9</v>
      </c>
      <c r="BL181" s="3">
        <v>1.5</v>
      </c>
      <c r="BM181" s="3">
        <v>1.5</v>
      </c>
      <c r="BN181" s="3">
        <f t="shared" si="32"/>
        <v>5.3392559999999998</v>
      </c>
      <c r="BO181" s="3">
        <f t="shared" si="33"/>
        <v>3.8392559999999998</v>
      </c>
      <c r="BP181" s="3" t="s">
        <v>419</v>
      </c>
      <c r="BQ181">
        <v>9</v>
      </c>
      <c r="BR181" t="s">
        <v>87</v>
      </c>
      <c r="BS181" s="3">
        <v>1</v>
      </c>
      <c r="BT181" s="3" t="s">
        <v>418</v>
      </c>
      <c r="BU181" s="3">
        <v>2</v>
      </c>
      <c r="BV181" s="3" t="str">
        <f t="shared" si="34"/>
        <v>E9</v>
      </c>
      <c r="BW181" s="3">
        <f t="shared" si="35"/>
        <v>3.8392559999999998</v>
      </c>
      <c r="BX181" s="21" t="s">
        <v>417</v>
      </c>
      <c r="BY181" s="3" t="str">
        <f t="shared" si="24"/>
        <v>Och-C_DilutionPlate</v>
      </c>
      <c r="BZ181" s="3" t="str">
        <f t="shared" si="25"/>
        <v>E9</v>
      </c>
      <c r="CA181" s="3" t="str">
        <f t="shared" si="26"/>
        <v>Och-C</v>
      </c>
      <c r="CC181" s="3">
        <v>1.5</v>
      </c>
      <c r="CD181" t="s">
        <v>589</v>
      </c>
      <c r="CE181" s="21" t="str">
        <f t="shared" si="21"/>
        <v>OcC0202405G</v>
      </c>
      <c r="CF181" s="21" t="str">
        <f t="shared" si="27"/>
        <v>Och-CCat_024-Ex1-5G-lcwgs-1-1</v>
      </c>
      <c r="CG181" s="3">
        <f t="shared" si="37"/>
        <v>0.42140702749596581</v>
      </c>
      <c r="CH181">
        <v>3629919</v>
      </c>
      <c r="CI181">
        <v>2748932</v>
      </c>
      <c r="CJ181" t="s">
        <v>79</v>
      </c>
      <c r="CK181" s="3">
        <v>9.31896175844469</v>
      </c>
      <c r="CL181" t="s">
        <v>1201</v>
      </c>
      <c r="CM181" s="33" t="s">
        <v>1780</v>
      </c>
      <c r="CN181" s="3" t="str">
        <f t="shared" si="38"/>
        <v>Och-CCat_024-Ex1-5G-lcwgs-1-2</v>
      </c>
      <c r="CR181"/>
    </row>
    <row r="182" spans="1:96" x14ac:dyDescent="0.55000000000000004">
      <c r="A182" t="s">
        <v>332</v>
      </c>
      <c r="B182" t="s">
        <v>333</v>
      </c>
      <c r="C182" s="3">
        <v>1</v>
      </c>
      <c r="E182" t="s">
        <v>329</v>
      </c>
      <c r="F182">
        <v>3</v>
      </c>
      <c r="G182" t="s">
        <v>73</v>
      </c>
      <c r="H182">
        <v>1.5378499360522948</v>
      </c>
      <c r="I182" s="3" t="s">
        <v>74</v>
      </c>
      <c r="J182" s="3">
        <v>0.1</v>
      </c>
      <c r="K182" s="3">
        <v>7.25</v>
      </c>
      <c r="L182" s="3">
        <v>0.33</v>
      </c>
      <c r="O182" s="3">
        <v>69.203247122353261</v>
      </c>
      <c r="P182" s="3">
        <v>45</v>
      </c>
      <c r="R182" s="3">
        <v>10</v>
      </c>
      <c r="S182" s="4">
        <v>45058</v>
      </c>
      <c r="T182" s="3" t="s">
        <v>282</v>
      </c>
      <c r="U182" s="3" t="s">
        <v>283</v>
      </c>
      <c r="V182" s="11" t="s">
        <v>73</v>
      </c>
      <c r="W182" s="11">
        <v>7</v>
      </c>
      <c r="X182" s="11" t="s">
        <v>87</v>
      </c>
      <c r="Y182" s="11">
        <v>7</v>
      </c>
      <c r="Z182">
        <v>4</v>
      </c>
      <c r="AA182" t="s">
        <v>73</v>
      </c>
      <c r="AB182" t="s">
        <v>284</v>
      </c>
      <c r="AC182" s="3" t="s">
        <v>78</v>
      </c>
      <c r="AD182" s="3">
        <v>6</v>
      </c>
      <c r="AE182">
        <v>4</v>
      </c>
      <c r="AF182" t="s">
        <v>73</v>
      </c>
      <c r="AG182" t="s">
        <v>614</v>
      </c>
      <c r="AH182" s="17" t="s">
        <v>615</v>
      </c>
      <c r="AI182" t="s">
        <v>698</v>
      </c>
      <c r="AJ182" s="18" t="s">
        <v>699</v>
      </c>
      <c r="AO182" s="10">
        <v>7.4178629999999997</v>
      </c>
      <c r="AP182" s="3">
        <v>37</v>
      </c>
      <c r="AQ182" s="3">
        <f t="shared" si="23"/>
        <v>274.46093099999996</v>
      </c>
      <c r="BE182" s="3" t="s">
        <v>79</v>
      </c>
      <c r="BF182" s="3" t="s">
        <v>80</v>
      </c>
      <c r="BG182" s="3" t="s">
        <v>416</v>
      </c>
      <c r="BH182" s="3">
        <f t="shared" si="36"/>
        <v>3</v>
      </c>
      <c r="BI182" s="3" t="str">
        <f t="shared" si="30"/>
        <v>A4</v>
      </c>
      <c r="BJ182" s="3">
        <v>93</v>
      </c>
      <c r="BK182" s="3" t="str">
        <f t="shared" si="31"/>
        <v>D12</v>
      </c>
      <c r="BL182" s="3">
        <v>1.5</v>
      </c>
      <c r="BM182" s="3">
        <v>1.5</v>
      </c>
      <c r="BN182" s="3">
        <f t="shared" si="32"/>
        <v>7.4178629999999997</v>
      </c>
      <c r="BO182" s="3">
        <f t="shared" si="33"/>
        <v>5.9178629999999997</v>
      </c>
      <c r="BP182" s="3" t="s">
        <v>419</v>
      </c>
      <c r="BQ182">
        <v>12</v>
      </c>
      <c r="BR182" t="s">
        <v>84</v>
      </c>
      <c r="BS182" s="3">
        <v>1</v>
      </c>
      <c r="BT182" s="3" t="s">
        <v>418</v>
      </c>
      <c r="BU182" s="3">
        <v>2</v>
      </c>
      <c r="BV182" s="3" t="str">
        <f t="shared" si="34"/>
        <v>D12</v>
      </c>
      <c r="BW182" s="3">
        <f t="shared" si="35"/>
        <v>5.9178629999999997</v>
      </c>
      <c r="BX182" s="21" t="s">
        <v>417</v>
      </c>
      <c r="BY182" s="3" t="str">
        <f t="shared" si="24"/>
        <v>Och-C_DilutionPlate</v>
      </c>
      <c r="BZ182" s="3" t="str">
        <f t="shared" si="25"/>
        <v>D12</v>
      </c>
      <c r="CA182" s="3" t="str">
        <f t="shared" si="26"/>
        <v>Och-C</v>
      </c>
      <c r="CC182" s="3">
        <v>1.5</v>
      </c>
      <c r="CD182" t="s">
        <v>575</v>
      </c>
      <c r="CE182" s="21" t="str">
        <f t="shared" si="21"/>
        <v>OcC0202504A</v>
      </c>
      <c r="CF182" s="21" t="str">
        <f t="shared" si="27"/>
        <v>Och-CCat_025-Ex1-4A-lcwgs-1-1</v>
      </c>
      <c r="CG182" s="3">
        <f t="shared" si="37"/>
        <v>0.3033218596784546</v>
      </c>
      <c r="CH182">
        <v>5502812</v>
      </c>
      <c r="CI182">
        <v>4371616</v>
      </c>
      <c r="CJ182" t="s">
        <v>79</v>
      </c>
      <c r="CK182" s="3">
        <v>4.0334625630376673</v>
      </c>
      <c r="CL182" t="s">
        <v>1201</v>
      </c>
      <c r="CM182" s="33" t="s">
        <v>1781</v>
      </c>
      <c r="CN182" s="3" t="str">
        <f t="shared" si="38"/>
        <v>Och-CCat_025-Ex1-4A-lcwgs-1-2</v>
      </c>
      <c r="CR182"/>
    </row>
    <row r="183" spans="1:96" x14ac:dyDescent="0.55000000000000004">
      <c r="A183" t="s">
        <v>352</v>
      </c>
      <c r="B183" t="s">
        <v>353</v>
      </c>
      <c r="C183" s="3">
        <v>1</v>
      </c>
      <c r="E183" t="s">
        <v>329</v>
      </c>
      <c r="F183">
        <v>6</v>
      </c>
      <c r="G183" t="s">
        <v>73</v>
      </c>
      <c r="H183">
        <v>2.2703851072900383</v>
      </c>
      <c r="I183" s="3" t="s">
        <v>74</v>
      </c>
      <c r="J183" s="3">
        <v>0.1</v>
      </c>
      <c r="K183" s="3">
        <v>7.25</v>
      </c>
      <c r="L183" s="3">
        <v>0.33</v>
      </c>
      <c r="O183" s="3">
        <v>100</v>
      </c>
      <c r="P183" s="3">
        <v>44.045391100790525</v>
      </c>
      <c r="R183" s="3">
        <v>10</v>
      </c>
      <c r="S183" s="4">
        <v>45058</v>
      </c>
      <c r="T183" s="3" t="s">
        <v>282</v>
      </c>
      <c r="U183" s="3" t="s">
        <v>283</v>
      </c>
      <c r="V183" s="11" t="s">
        <v>76</v>
      </c>
      <c r="W183" s="11">
        <v>9</v>
      </c>
      <c r="X183" s="11" t="s">
        <v>88</v>
      </c>
      <c r="Y183" s="11">
        <v>9</v>
      </c>
      <c r="Z183">
        <v>5</v>
      </c>
      <c r="AA183" t="s">
        <v>83</v>
      </c>
      <c r="AB183" t="s">
        <v>284</v>
      </c>
      <c r="AC183" s="3" t="s">
        <v>78</v>
      </c>
      <c r="AD183" s="3">
        <v>6</v>
      </c>
      <c r="AE183">
        <v>5</v>
      </c>
      <c r="AF183" t="s">
        <v>83</v>
      </c>
      <c r="AG183" t="s">
        <v>642</v>
      </c>
      <c r="AH183" s="17" t="s">
        <v>643</v>
      </c>
      <c r="AI183" t="s">
        <v>654</v>
      </c>
      <c r="AJ183" s="18" t="s">
        <v>655</v>
      </c>
      <c r="AO183" s="10">
        <v>3.7892480000000002</v>
      </c>
      <c r="AP183" s="3">
        <v>37</v>
      </c>
      <c r="AQ183" s="3">
        <f t="shared" si="23"/>
        <v>140.20217600000001</v>
      </c>
      <c r="BE183" s="3" t="s">
        <v>79</v>
      </c>
      <c r="BF183" s="3" t="s">
        <v>80</v>
      </c>
      <c r="BG183" s="3" t="s">
        <v>416</v>
      </c>
      <c r="BH183" s="3">
        <f t="shared" si="36"/>
        <v>3</v>
      </c>
      <c r="BI183" s="3" t="str">
        <f t="shared" si="30"/>
        <v>C5</v>
      </c>
      <c r="BJ183" s="3">
        <v>35</v>
      </c>
      <c r="BK183" s="3" t="str">
        <f t="shared" si="31"/>
        <v>B5</v>
      </c>
      <c r="BL183" s="3">
        <v>1.5</v>
      </c>
      <c r="BM183" s="3">
        <v>1.5</v>
      </c>
      <c r="BN183" s="3">
        <f t="shared" si="32"/>
        <v>3.7892480000000002</v>
      </c>
      <c r="BO183" s="3">
        <f t="shared" si="33"/>
        <v>2.2892480000000002</v>
      </c>
      <c r="BP183" s="3" t="s">
        <v>419</v>
      </c>
      <c r="BQ183">
        <v>5</v>
      </c>
      <c r="BR183" t="s">
        <v>76</v>
      </c>
      <c r="BS183" s="3">
        <v>1</v>
      </c>
      <c r="BT183" s="3" t="s">
        <v>418</v>
      </c>
      <c r="BU183" s="3">
        <v>2</v>
      </c>
      <c r="BV183" s="3" t="str">
        <f t="shared" si="34"/>
        <v>B5</v>
      </c>
      <c r="BW183" s="3">
        <f t="shared" si="35"/>
        <v>2.2892480000000002</v>
      </c>
      <c r="BX183" s="21" t="s">
        <v>417</v>
      </c>
      <c r="BY183" s="3" t="str">
        <f t="shared" si="24"/>
        <v>Och-C_DilutionPlate</v>
      </c>
      <c r="BZ183" s="3" t="str">
        <f t="shared" si="25"/>
        <v>B5</v>
      </c>
      <c r="CA183" s="3" t="str">
        <f t="shared" si="26"/>
        <v>Och-C</v>
      </c>
      <c r="CC183" s="3">
        <v>1.5</v>
      </c>
      <c r="CD183" t="s">
        <v>585</v>
      </c>
      <c r="CE183" s="21" t="str">
        <f t="shared" si="21"/>
        <v>OcC0202805C</v>
      </c>
      <c r="CF183" s="21" t="str">
        <f t="shared" si="27"/>
        <v>Och-CCat_028-Ex1-5C-lcwgs-1-1</v>
      </c>
      <c r="CG183" s="3">
        <f t="shared" si="37"/>
        <v>0.59378536321718711</v>
      </c>
      <c r="CH183">
        <v>4504292</v>
      </c>
      <c r="CI183">
        <v>3637967</v>
      </c>
      <c r="CJ183" t="s">
        <v>79</v>
      </c>
      <c r="CK183" s="3">
        <v>9.6843816517970662</v>
      </c>
      <c r="CL183" t="s">
        <v>1201</v>
      </c>
      <c r="CM183" s="33" t="s">
        <v>1782</v>
      </c>
      <c r="CN183" s="3" t="str">
        <f t="shared" si="38"/>
        <v>Och-CCat_028-Ex1-5C-lcwgs-1-2</v>
      </c>
      <c r="CR183"/>
    </row>
    <row r="184" spans="1:96" x14ac:dyDescent="0.55000000000000004">
      <c r="A184" t="s">
        <v>330</v>
      </c>
      <c r="B184" t="s">
        <v>331</v>
      </c>
      <c r="C184" s="3">
        <v>1</v>
      </c>
      <c r="E184" t="s">
        <v>329</v>
      </c>
      <c r="F184">
        <v>7</v>
      </c>
      <c r="G184" t="s">
        <v>73</v>
      </c>
      <c r="H184">
        <v>1.4754050021315901</v>
      </c>
      <c r="I184" s="3" t="s">
        <v>74</v>
      </c>
      <c r="J184" s="3">
        <v>0.1</v>
      </c>
      <c r="K184" s="3">
        <v>7.25</v>
      </c>
      <c r="L184" s="3">
        <v>0.33</v>
      </c>
      <c r="O184" s="3">
        <v>66.393225095921551</v>
      </c>
      <c r="P184" s="3">
        <v>45</v>
      </c>
      <c r="R184" s="3">
        <v>10</v>
      </c>
      <c r="S184" s="4">
        <v>45058</v>
      </c>
      <c r="T184" s="3" t="s">
        <v>282</v>
      </c>
      <c r="U184" s="3" t="s">
        <v>283</v>
      </c>
      <c r="V184" s="11" t="s">
        <v>84</v>
      </c>
      <c r="W184" s="11">
        <v>6</v>
      </c>
      <c r="X184" s="11" t="s">
        <v>92</v>
      </c>
      <c r="Y184" s="11">
        <v>6</v>
      </c>
      <c r="Z184">
        <v>3</v>
      </c>
      <c r="AA184" t="s">
        <v>92</v>
      </c>
      <c r="AB184" t="s">
        <v>284</v>
      </c>
      <c r="AC184" s="3" t="s">
        <v>78</v>
      </c>
      <c r="AD184" s="3">
        <v>6</v>
      </c>
      <c r="AE184">
        <v>3</v>
      </c>
      <c r="AF184" t="s">
        <v>92</v>
      </c>
      <c r="AG184" t="s">
        <v>706</v>
      </c>
      <c r="AH184" s="17" t="s">
        <v>707</v>
      </c>
      <c r="AI184" t="s">
        <v>684</v>
      </c>
      <c r="AJ184" s="18" t="s">
        <v>685</v>
      </c>
      <c r="AO184" s="10">
        <v>6.2177610000000003</v>
      </c>
      <c r="AP184" s="3">
        <v>37</v>
      </c>
      <c r="AQ184" s="3">
        <f t="shared" si="23"/>
        <v>230.05715700000002</v>
      </c>
      <c r="BE184" s="3" t="s">
        <v>79</v>
      </c>
      <c r="BF184" s="3" t="s">
        <v>80</v>
      </c>
      <c r="BG184" s="3" t="s">
        <v>416</v>
      </c>
      <c r="BH184" s="3">
        <f t="shared" si="36"/>
        <v>3</v>
      </c>
      <c r="BI184" s="3" t="str">
        <f t="shared" si="30"/>
        <v>H3</v>
      </c>
      <c r="BJ184" s="3">
        <v>82</v>
      </c>
      <c r="BK184" s="3" t="str">
        <f t="shared" si="31"/>
        <v>A11</v>
      </c>
      <c r="BL184" s="3">
        <v>1.5</v>
      </c>
      <c r="BM184" s="3">
        <v>1.5</v>
      </c>
      <c r="BN184" s="3">
        <f t="shared" si="32"/>
        <v>6.2177610000000003</v>
      </c>
      <c r="BO184" s="3">
        <f t="shared" si="33"/>
        <v>4.7177610000000003</v>
      </c>
      <c r="BP184" s="3" t="s">
        <v>419</v>
      </c>
      <c r="BQ184">
        <v>11</v>
      </c>
      <c r="BR184" t="s">
        <v>73</v>
      </c>
      <c r="BS184" s="3">
        <v>1</v>
      </c>
      <c r="BT184" s="3" t="s">
        <v>418</v>
      </c>
      <c r="BU184" s="3">
        <v>2</v>
      </c>
      <c r="BV184" s="3" t="str">
        <f t="shared" si="34"/>
        <v>A11</v>
      </c>
      <c r="BW184" s="3">
        <f t="shared" si="35"/>
        <v>4.7177610000000003</v>
      </c>
      <c r="BX184" s="21" t="s">
        <v>417</v>
      </c>
      <c r="BY184" s="3" t="str">
        <f t="shared" si="24"/>
        <v>Och-C_DilutionPlate</v>
      </c>
      <c r="BZ184" s="3" t="str">
        <f t="shared" si="25"/>
        <v>A11</v>
      </c>
      <c r="CA184" s="3" t="str">
        <f t="shared" si="26"/>
        <v>Och-C</v>
      </c>
      <c r="CC184" s="3">
        <v>1.5</v>
      </c>
      <c r="CD184" t="s">
        <v>574</v>
      </c>
      <c r="CE184" s="21" t="str">
        <f t="shared" si="21"/>
        <v>OcC0202903H</v>
      </c>
      <c r="CF184" s="21" t="str">
        <f t="shared" si="27"/>
        <v>Och-CCat_029-Ex1-3H-lcwgs-1-1</v>
      </c>
      <c r="CG184" s="3">
        <f t="shared" si="37"/>
        <v>0.36186659474367056</v>
      </c>
      <c r="CH184">
        <v>2706434</v>
      </c>
      <c r="CI184">
        <v>2161654</v>
      </c>
      <c r="CJ184" t="s">
        <v>79</v>
      </c>
      <c r="CK184" s="3">
        <v>10.337359331538885</v>
      </c>
      <c r="CL184" t="s">
        <v>1201</v>
      </c>
      <c r="CM184" s="33" t="s">
        <v>1783</v>
      </c>
      <c r="CN184" s="3" t="str">
        <f t="shared" si="38"/>
        <v>Och-CCat_029-Ex1-3H-lcwgs-1-2</v>
      </c>
      <c r="CR184"/>
    </row>
    <row r="185" spans="1:96" x14ac:dyDescent="0.55000000000000004">
      <c r="A185" t="s">
        <v>327</v>
      </c>
      <c r="B185" t="s">
        <v>328</v>
      </c>
      <c r="C185" s="3">
        <v>1</v>
      </c>
      <c r="E185" t="s">
        <v>329</v>
      </c>
      <c r="F185">
        <v>9</v>
      </c>
      <c r="G185" t="s">
        <v>73</v>
      </c>
      <c r="H185">
        <v>1.4381270427739092</v>
      </c>
      <c r="I185" s="3" t="s">
        <v>74</v>
      </c>
      <c r="J185" s="3">
        <v>0.1</v>
      </c>
      <c r="K185" s="3">
        <v>7.25</v>
      </c>
      <c r="L185" s="3">
        <v>0.33</v>
      </c>
      <c r="O185" s="3">
        <v>64.715716924825912</v>
      </c>
      <c r="P185" s="3">
        <v>45</v>
      </c>
      <c r="R185" s="3">
        <v>10</v>
      </c>
      <c r="S185" s="4">
        <v>45058</v>
      </c>
      <c r="T185" s="3" t="s">
        <v>282</v>
      </c>
      <c r="U185" s="3" t="s">
        <v>283</v>
      </c>
      <c r="V185" s="11" t="s">
        <v>84</v>
      </c>
      <c r="W185" s="11">
        <v>5</v>
      </c>
      <c r="X185" s="11" t="s">
        <v>92</v>
      </c>
      <c r="Y185" s="11">
        <v>5</v>
      </c>
      <c r="Z185">
        <v>3</v>
      </c>
      <c r="AA185" t="s">
        <v>91</v>
      </c>
      <c r="AB185" t="s">
        <v>284</v>
      </c>
      <c r="AC185" s="3" t="s">
        <v>78</v>
      </c>
      <c r="AD185" s="3">
        <v>6</v>
      </c>
      <c r="AE185">
        <v>3</v>
      </c>
      <c r="AF185" t="s">
        <v>91</v>
      </c>
      <c r="AG185" t="s">
        <v>650</v>
      </c>
      <c r="AH185" s="17" t="s">
        <v>651</v>
      </c>
      <c r="AI185" t="s">
        <v>684</v>
      </c>
      <c r="AJ185" s="18" t="s">
        <v>685</v>
      </c>
      <c r="AO185" s="10">
        <v>7.9852059999999998</v>
      </c>
      <c r="AP185" s="3">
        <v>37</v>
      </c>
      <c r="AQ185" s="3">
        <f t="shared" si="23"/>
        <v>295.45262200000002</v>
      </c>
      <c r="BE185" s="3" t="s">
        <v>79</v>
      </c>
      <c r="BF185" s="3" t="s">
        <v>80</v>
      </c>
      <c r="BG185" s="3" t="s">
        <v>416</v>
      </c>
      <c r="BH185" s="3">
        <f t="shared" si="36"/>
        <v>3</v>
      </c>
      <c r="BI185" s="3" t="str">
        <f t="shared" si="30"/>
        <v>G3</v>
      </c>
      <c r="BJ185" s="3">
        <v>94</v>
      </c>
      <c r="BK185" s="3" t="str">
        <f t="shared" si="31"/>
        <v>E12</v>
      </c>
      <c r="BL185" s="3">
        <v>1.5</v>
      </c>
      <c r="BM185" s="3">
        <v>1.5</v>
      </c>
      <c r="BN185" s="3">
        <f t="shared" si="32"/>
        <v>7.9852060000000007</v>
      </c>
      <c r="BO185" s="3">
        <f t="shared" si="33"/>
        <v>6.4852060000000007</v>
      </c>
      <c r="BP185" s="3" t="s">
        <v>419</v>
      </c>
      <c r="BQ185">
        <v>12</v>
      </c>
      <c r="BR185" t="s">
        <v>87</v>
      </c>
      <c r="BS185" s="3">
        <v>1</v>
      </c>
      <c r="BT185" s="3" t="s">
        <v>418</v>
      </c>
      <c r="BU185" s="3">
        <v>2</v>
      </c>
      <c r="BV185" s="3" t="str">
        <f t="shared" si="34"/>
        <v>E12</v>
      </c>
      <c r="BW185" s="3">
        <f t="shared" si="35"/>
        <v>6.4852060000000007</v>
      </c>
      <c r="BX185" s="21" t="s">
        <v>417</v>
      </c>
      <c r="BY185" s="3" t="str">
        <f t="shared" si="24"/>
        <v>Och-C_DilutionPlate</v>
      </c>
      <c r="BZ185" s="3" t="str">
        <f t="shared" si="25"/>
        <v>E12</v>
      </c>
      <c r="CA185" s="3" t="str">
        <f t="shared" si="26"/>
        <v>Och-C</v>
      </c>
      <c r="CC185" s="3">
        <v>1.5</v>
      </c>
      <c r="CD185" t="s">
        <v>573</v>
      </c>
      <c r="CE185" s="21" t="str">
        <f t="shared" si="21"/>
        <v>OcC0203103G</v>
      </c>
      <c r="CF185" s="21" t="str">
        <f t="shared" si="27"/>
        <v>Och-CCat_031-Ex1-3G-lcwgs-1-1</v>
      </c>
      <c r="CG185" s="3">
        <f t="shared" si="37"/>
        <v>0.28177106514221423</v>
      </c>
      <c r="CH185">
        <v>3342360</v>
      </c>
      <c r="CI185">
        <v>2691237</v>
      </c>
      <c r="CJ185" t="s">
        <v>79</v>
      </c>
      <c r="CK185" s="3">
        <v>6.3745381874866212</v>
      </c>
      <c r="CL185" t="s">
        <v>1201</v>
      </c>
      <c r="CM185" s="33" t="s">
        <v>1784</v>
      </c>
      <c r="CN185" s="3" t="str">
        <f t="shared" si="38"/>
        <v>Och-CCat_031-Ex1-3G-lcwgs-1-2</v>
      </c>
      <c r="CR185"/>
    </row>
    <row r="186" spans="1:96" x14ac:dyDescent="0.55000000000000004">
      <c r="A186" t="s">
        <v>364</v>
      </c>
      <c r="B186" t="s">
        <v>365</v>
      </c>
      <c r="C186" s="3">
        <v>1</v>
      </c>
      <c r="E186" t="s">
        <v>329</v>
      </c>
      <c r="F186">
        <v>1</v>
      </c>
      <c r="G186" t="s">
        <v>76</v>
      </c>
      <c r="H186">
        <v>2.9959251101321582</v>
      </c>
      <c r="I186" s="3" t="s">
        <v>74</v>
      </c>
      <c r="J186" s="3">
        <v>0.1</v>
      </c>
      <c r="K186" s="3">
        <v>7.25</v>
      </c>
      <c r="L186" s="3">
        <v>0.33</v>
      </c>
      <c r="O186" s="3">
        <v>100</v>
      </c>
      <c r="P186" s="3">
        <v>33.378671470058457</v>
      </c>
      <c r="R186" s="3">
        <v>10</v>
      </c>
      <c r="S186" s="4">
        <v>45058</v>
      </c>
      <c r="T186" s="3" t="s">
        <v>282</v>
      </c>
      <c r="U186" s="3" t="s">
        <v>283</v>
      </c>
      <c r="V186" s="11" t="s">
        <v>73</v>
      </c>
      <c r="W186" s="11">
        <v>11</v>
      </c>
      <c r="X186" s="11" t="s">
        <v>87</v>
      </c>
      <c r="Y186" s="11">
        <v>11</v>
      </c>
      <c r="Z186">
        <v>6</v>
      </c>
      <c r="AA186" t="s">
        <v>73</v>
      </c>
      <c r="AB186" t="s">
        <v>284</v>
      </c>
      <c r="AC186" s="3" t="s">
        <v>78</v>
      </c>
      <c r="AD186" s="3">
        <v>6</v>
      </c>
      <c r="AE186">
        <v>6</v>
      </c>
      <c r="AF186" t="s">
        <v>73</v>
      </c>
      <c r="AG186" t="s">
        <v>614</v>
      </c>
      <c r="AH186" s="17" t="s">
        <v>615</v>
      </c>
      <c r="AI186" t="s">
        <v>670</v>
      </c>
      <c r="AJ186" s="18" t="s">
        <v>671</v>
      </c>
      <c r="AO186" s="10">
        <v>7.1097330000000003</v>
      </c>
      <c r="AP186" s="3">
        <v>37</v>
      </c>
      <c r="AQ186" s="3">
        <f t="shared" si="23"/>
        <v>263.06012100000004</v>
      </c>
      <c r="BE186" s="3" t="s">
        <v>79</v>
      </c>
      <c r="BF186" s="3" t="s">
        <v>80</v>
      </c>
      <c r="BG186" s="3" t="s">
        <v>416</v>
      </c>
      <c r="BH186" s="3">
        <f t="shared" si="36"/>
        <v>3</v>
      </c>
      <c r="BI186" s="3" t="str">
        <f t="shared" si="30"/>
        <v>A6</v>
      </c>
      <c r="BJ186" s="3">
        <v>90</v>
      </c>
      <c r="BK186" s="3" t="str">
        <f t="shared" si="31"/>
        <v>A12</v>
      </c>
      <c r="BL186" s="3">
        <v>1.5</v>
      </c>
      <c r="BM186" s="3">
        <v>1.5</v>
      </c>
      <c r="BN186" s="3">
        <f t="shared" si="32"/>
        <v>7.1097330000000012</v>
      </c>
      <c r="BO186" s="3">
        <f t="shared" si="33"/>
        <v>5.6097330000000012</v>
      </c>
      <c r="BP186" s="3" t="s">
        <v>419</v>
      </c>
      <c r="BQ186">
        <v>12</v>
      </c>
      <c r="BR186" t="s">
        <v>73</v>
      </c>
      <c r="BS186" s="3">
        <v>1</v>
      </c>
      <c r="BT186" s="3" t="s">
        <v>418</v>
      </c>
      <c r="BU186" s="3">
        <v>2</v>
      </c>
      <c r="BV186" s="3" t="str">
        <f t="shared" si="34"/>
        <v>A12</v>
      </c>
      <c r="BW186" s="3">
        <f t="shared" si="35"/>
        <v>5.6097330000000012</v>
      </c>
      <c r="BX186" s="21" t="s">
        <v>417</v>
      </c>
      <c r="BY186" s="3" t="str">
        <f t="shared" si="24"/>
        <v>Och-C_DilutionPlate</v>
      </c>
      <c r="BZ186" s="3" t="str">
        <f t="shared" si="25"/>
        <v>A12</v>
      </c>
      <c r="CA186" s="3" t="str">
        <f t="shared" si="26"/>
        <v>Och-C</v>
      </c>
      <c r="CC186" s="3">
        <v>1.5</v>
      </c>
      <c r="CD186" t="s">
        <v>591</v>
      </c>
      <c r="CE186" s="21" t="str">
        <f t="shared" si="21"/>
        <v>OcC0203506A</v>
      </c>
      <c r="CF186" s="21" t="str">
        <f t="shared" si="27"/>
        <v>Och-CCat_035-Ex1-6A-lcwgs-1-1</v>
      </c>
      <c r="CG186" s="3">
        <f t="shared" si="37"/>
        <v>0.31646758042812573</v>
      </c>
      <c r="CH186">
        <v>6034454</v>
      </c>
      <c r="CI186">
        <v>4506373</v>
      </c>
      <c r="CJ186" t="s">
        <v>79</v>
      </c>
      <c r="CK186" s="3">
        <v>4.0669281610775814</v>
      </c>
      <c r="CL186" t="s">
        <v>1201</v>
      </c>
      <c r="CM186" s="33" t="s">
        <v>1785</v>
      </c>
      <c r="CN186" s="3" t="str">
        <f t="shared" si="38"/>
        <v>Och-CCat_035-Ex1-6A-lcwgs-1-2</v>
      </c>
      <c r="CR186"/>
    </row>
    <row r="187" spans="1:96" x14ac:dyDescent="0.55000000000000004">
      <c r="A187" t="s">
        <v>354</v>
      </c>
      <c r="B187" t="s">
        <v>355</v>
      </c>
      <c r="C187" s="3">
        <v>1</v>
      </c>
      <c r="E187" t="s">
        <v>329</v>
      </c>
      <c r="F187">
        <v>2</v>
      </c>
      <c r="G187" t="s">
        <v>76</v>
      </c>
      <c r="H187">
        <v>2.687000852636066</v>
      </c>
      <c r="I187" s="3" t="s">
        <v>74</v>
      </c>
      <c r="J187" s="3">
        <v>0.1</v>
      </c>
      <c r="K187" s="3">
        <v>7.25</v>
      </c>
      <c r="L187" s="3">
        <v>0.33</v>
      </c>
      <c r="O187" s="3">
        <v>100</v>
      </c>
      <c r="P187" s="3">
        <v>37.216214465244995</v>
      </c>
      <c r="R187" s="3">
        <v>10</v>
      </c>
      <c r="S187" s="4">
        <v>45058</v>
      </c>
      <c r="T187" s="3" t="s">
        <v>282</v>
      </c>
      <c r="U187" s="3" t="s">
        <v>283</v>
      </c>
      <c r="V187" s="11" t="s">
        <v>76</v>
      </c>
      <c r="W187" s="11">
        <v>10</v>
      </c>
      <c r="X187" s="11" t="s">
        <v>88</v>
      </c>
      <c r="Y187" s="11">
        <v>10</v>
      </c>
      <c r="Z187">
        <v>5</v>
      </c>
      <c r="AA187" t="s">
        <v>84</v>
      </c>
      <c r="AB187" t="s">
        <v>284</v>
      </c>
      <c r="AC187" s="3" t="s">
        <v>78</v>
      </c>
      <c r="AD187" s="3">
        <v>6</v>
      </c>
      <c r="AE187">
        <v>5</v>
      </c>
      <c r="AF187" t="s">
        <v>84</v>
      </c>
      <c r="AG187" t="s">
        <v>644</v>
      </c>
      <c r="AH187" s="17" t="s">
        <v>645</v>
      </c>
      <c r="AI187" t="s">
        <v>654</v>
      </c>
      <c r="AJ187" s="18" t="s">
        <v>655</v>
      </c>
      <c r="AO187" s="10">
        <v>4.2055470000000001</v>
      </c>
      <c r="AP187" s="3">
        <v>37</v>
      </c>
      <c r="AQ187" s="3">
        <f t="shared" si="23"/>
        <v>155.60523900000001</v>
      </c>
      <c r="BE187" s="3" t="s">
        <v>79</v>
      </c>
      <c r="BF187" s="3" t="s">
        <v>80</v>
      </c>
      <c r="BG187" s="3" t="s">
        <v>416</v>
      </c>
      <c r="BH187" s="3">
        <f t="shared" si="36"/>
        <v>3</v>
      </c>
      <c r="BI187" s="3" t="str">
        <f t="shared" si="30"/>
        <v>D5</v>
      </c>
      <c r="BJ187" s="3">
        <v>50</v>
      </c>
      <c r="BK187" s="3" t="str">
        <f t="shared" si="31"/>
        <v>A7</v>
      </c>
      <c r="BL187" s="3">
        <v>1.5</v>
      </c>
      <c r="BM187" s="3">
        <v>1.5</v>
      </c>
      <c r="BN187" s="3">
        <f t="shared" si="32"/>
        <v>4.2055470000000001</v>
      </c>
      <c r="BO187" s="3">
        <f t="shared" si="33"/>
        <v>2.7055470000000001</v>
      </c>
      <c r="BP187" s="3" t="s">
        <v>419</v>
      </c>
      <c r="BQ187">
        <v>7</v>
      </c>
      <c r="BR187" t="s">
        <v>73</v>
      </c>
      <c r="BS187" s="3">
        <v>1</v>
      </c>
      <c r="BT187" s="3" t="s">
        <v>418</v>
      </c>
      <c r="BU187" s="3">
        <v>2</v>
      </c>
      <c r="BV187" s="3" t="str">
        <f t="shared" si="34"/>
        <v>A7</v>
      </c>
      <c r="BW187" s="3">
        <f t="shared" si="35"/>
        <v>2.7055470000000001</v>
      </c>
      <c r="BX187" s="21" t="s">
        <v>417</v>
      </c>
      <c r="BY187" s="3" t="str">
        <f t="shared" si="24"/>
        <v>Och-C_DilutionPlate</v>
      </c>
      <c r="BZ187" s="3" t="str">
        <f t="shared" si="25"/>
        <v>A7</v>
      </c>
      <c r="CA187" s="3" t="str">
        <f t="shared" si="26"/>
        <v>Och-C</v>
      </c>
      <c r="CC187" s="3">
        <v>1.5</v>
      </c>
      <c r="CD187" t="s">
        <v>586</v>
      </c>
      <c r="CE187" s="21" t="str">
        <f t="shared" si="21"/>
        <v>OcC0203605D</v>
      </c>
      <c r="CF187" s="21" t="str">
        <f t="shared" si="27"/>
        <v>Och-CCat_036-Ex1-5D-lcwgs-1-1</v>
      </c>
      <c r="CG187" s="3">
        <f t="shared" si="37"/>
        <v>0.53500769341063126</v>
      </c>
      <c r="CH187">
        <v>2756142</v>
      </c>
      <c r="CI187">
        <v>2204703</v>
      </c>
      <c r="CJ187" t="s">
        <v>79</v>
      </c>
      <c r="CK187" s="3">
        <v>14.967908137623962</v>
      </c>
      <c r="CL187" t="s">
        <v>1201</v>
      </c>
      <c r="CM187" s="33" t="s">
        <v>1786</v>
      </c>
      <c r="CN187" s="3" t="str">
        <f t="shared" si="38"/>
        <v>Och-CCat_036-Ex1-5D-lcwgs-1-2</v>
      </c>
      <c r="CR187"/>
    </row>
    <row r="188" spans="1:96" x14ac:dyDescent="0.55000000000000004">
      <c r="A188" t="s">
        <v>334</v>
      </c>
      <c r="B188" t="s">
        <v>335</v>
      </c>
      <c r="C188" s="3">
        <v>1</v>
      </c>
      <c r="E188" t="s">
        <v>329</v>
      </c>
      <c r="F188">
        <v>3</v>
      </c>
      <c r="G188" t="s">
        <v>76</v>
      </c>
      <c r="H188">
        <v>1.6703247122353273</v>
      </c>
      <c r="I188" s="3" t="s">
        <v>74</v>
      </c>
      <c r="J188" s="3">
        <v>0.1</v>
      </c>
      <c r="K188" s="3">
        <v>7.25</v>
      </c>
      <c r="L188" s="3">
        <v>0.33</v>
      </c>
      <c r="O188" s="3">
        <v>75.164612050589724</v>
      </c>
      <c r="P188" s="3">
        <v>45</v>
      </c>
      <c r="R188" s="3">
        <v>10</v>
      </c>
      <c r="S188" s="4">
        <v>45058</v>
      </c>
      <c r="T188" s="3" t="s">
        <v>282</v>
      </c>
      <c r="U188" s="3" t="s">
        <v>283</v>
      </c>
      <c r="V188" s="11" t="s">
        <v>73</v>
      </c>
      <c r="W188" s="11">
        <v>8</v>
      </c>
      <c r="X188" s="11" t="s">
        <v>87</v>
      </c>
      <c r="Y188" s="11">
        <v>8</v>
      </c>
      <c r="Z188">
        <v>4</v>
      </c>
      <c r="AA188" t="s">
        <v>76</v>
      </c>
      <c r="AB188" t="s">
        <v>284</v>
      </c>
      <c r="AC188" s="3" t="s">
        <v>78</v>
      </c>
      <c r="AD188" s="3">
        <v>6</v>
      </c>
      <c r="AE188">
        <v>4</v>
      </c>
      <c r="AF188" t="s">
        <v>76</v>
      </c>
      <c r="AG188" t="s">
        <v>640</v>
      </c>
      <c r="AH188" s="17" t="s">
        <v>641</v>
      </c>
      <c r="AI188" t="s">
        <v>698</v>
      </c>
      <c r="AJ188" s="18" t="s">
        <v>699</v>
      </c>
      <c r="AO188" s="10">
        <v>6.7583900000000003</v>
      </c>
      <c r="AP188" s="3">
        <v>37</v>
      </c>
      <c r="AQ188" s="3">
        <f t="shared" si="23"/>
        <v>250.06043000000003</v>
      </c>
      <c r="BE188" s="3" t="s">
        <v>79</v>
      </c>
      <c r="BF188" s="3" t="s">
        <v>80</v>
      </c>
      <c r="BG188" s="3" t="s">
        <v>416</v>
      </c>
      <c r="BH188" s="3">
        <f t="shared" si="36"/>
        <v>3</v>
      </c>
      <c r="BI188" s="3" t="str">
        <f t="shared" ref="BI188:BI219" si="39">AA188&amp;Z188</f>
        <v>B4</v>
      </c>
      <c r="BJ188" s="3">
        <v>87</v>
      </c>
      <c r="BK188" s="3" t="str">
        <f t="shared" ref="BK188:BK219" si="40">BR188&amp;BQ188</f>
        <v>F11</v>
      </c>
      <c r="BL188" s="3">
        <v>1.5</v>
      </c>
      <c r="BM188" s="3">
        <v>1.5</v>
      </c>
      <c r="BN188" s="3">
        <f t="shared" ref="BN188:BN219" si="41">AO188*BL188/BM188</f>
        <v>6.7583900000000012</v>
      </c>
      <c r="BO188" s="3">
        <f t="shared" ref="BO188:BO219" si="42">BN188-BL188</f>
        <v>5.2583900000000012</v>
      </c>
      <c r="BP188" s="3" t="s">
        <v>419</v>
      </c>
      <c r="BQ188">
        <v>11</v>
      </c>
      <c r="BR188" t="s">
        <v>88</v>
      </c>
      <c r="BS188" s="3">
        <v>1</v>
      </c>
      <c r="BT188" s="3" t="s">
        <v>418</v>
      </c>
      <c r="BU188" s="3">
        <v>2</v>
      </c>
      <c r="BV188" s="3" t="str">
        <f t="shared" ref="BV188:BV219" si="43">BR188&amp;BQ188</f>
        <v>F11</v>
      </c>
      <c r="BW188" s="3">
        <f t="shared" ref="BW188:BW219" si="44">BO188</f>
        <v>5.2583900000000012</v>
      </c>
      <c r="BX188" s="21" t="s">
        <v>417</v>
      </c>
      <c r="BY188" s="3" t="str">
        <f t="shared" si="24"/>
        <v>Och-C_DilutionPlate</v>
      </c>
      <c r="BZ188" s="3" t="str">
        <f t="shared" si="25"/>
        <v>F11</v>
      </c>
      <c r="CA188" s="3" t="str">
        <f t="shared" si="26"/>
        <v>Och-C</v>
      </c>
      <c r="CC188" s="3">
        <v>1.5</v>
      </c>
      <c r="CD188" t="s">
        <v>576</v>
      </c>
      <c r="CE188" s="21" t="str">
        <f t="shared" ref="CE188:CE251" si="45">CD188&amp;TEXT(Z188,"00")&amp;AA188</f>
        <v>OcC0203704B</v>
      </c>
      <c r="CF188" s="21" t="str">
        <f t="shared" si="27"/>
        <v>Och-CCat_037-Ex1-4B-lcwgs-1-1</v>
      </c>
      <c r="CG188" s="3">
        <f t="shared" si="37"/>
        <v>0.33291952669200792</v>
      </c>
      <c r="CH188">
        <v>3128481</v>
      </c>
      <c r="CI188">
        <v>2544665</v>
      </c>
      <c r="CJ188" t="s">
        <v>79</v>
      </c>
      <c r="CK188" s="3">
        <v>7.9969032437812899</v>
      </c>
      <c r="CL188" t="s">
        <v>1201</v>
      </c>
      <c r="CM188" s="33" t="s">
        <v>1787</v>
      </c>
      <c r="CN188" s="3" t="str">
        <f t="shared" si="38"/>
        <v>Och-CCat_037-Ex1-4B-lcwgs-1-2</v>
      </c>
      <c r="CR188"/>
    </row>
    <row r="189" spans="1:96" x14ac:dyDescent="0.55000000000000004">
      <c r="A189" t="s">
        <v>336</v>
      </c>
      <c r="B189" t="s">
        <v>337</v>
      </c>
      <c r="C189" s="3">
        <v>1</v>
      </c>
      <c r="E189" t="s">
        <v>329</v>
      </c>
      <c r="F189">
        <v>4</v>
      </c>
      <c r="G189" t="s">
        <v>76</v>
      </c>
      <c r="H189">
        <v>1.7347875515134288</v>
      </c>
      <c r="I189" s="3" t="s">
        <v>74</v>
      </c>
      <c r="J189" s="3">
        <v>0.1</v>
      </c>
      <c r="K189" s="3">
        <v>7.25</v>
      </c>
      <c r="L189" s="3">
        <v>0.33</v>
      </c>
      <c r="O189" s="3">
        <v>78.065439818104295</v>
      </c>
      <c r="P189" s="3">
        <v>45</v>
      </c>
      <c r="R189" s="3">
        <v>10</v>
      </c>
      <c r="S189" s="4">
        <v>45058</v>
      </c>
      <c r="T189" s="3" t="s">
        <v>282</v>
      </c>
      <c r="U189" s="3" t="s">
        <v>283</v>
      </c>
      <c r="V189" s="11" t="s">
        <v>76</v>
      </c>
      <c r="W189" s="11">
        <v>7</v>
      </c>
      <c r="X189" s="11" t="s">
        <v>88</v>
      </c>
      <c r="Y189" s="11">
        <v>7</v>
      </c>
      <c r="Z189">
        <v>4</v>
      </c>
      <c r="AA189" t="s">
        <v>83</v>
      </c>
      <c r="AB189" t="s">
        <v>284</v>
      </c>
      <c r="AC189" s="3" t="s">
        <v>78</v>
      </c>
      <c r="AD189" s="3">
        <v>6</v>
      </c>
      <c r="AE189">
        <v>4</v>
      </c>
      <c r="AF189" t="s">
        <v>83</v>
      </c>
      <c r="AG189" t="s">
        <v>642</v>
      </c>
      <c r="AH189" s="17" t="s">
        <v>643</v>
      </c>
      <c r="AI189" t="s">
        <v>698</v>
      </c>
      <c r="AJ189" s="18" t="s">
        <v>699</v>
      </c>
      <c r="AO189" s="10">
        <v>7.0981240000000003</v>
      </c>
      <c r="AP189" s="3">
        <v>37</v>
      </c>
      <c r="AQ189" s="3">
        <f t="shared" si="23"/>
        <v>262.63058799999999</v>
      </c>
      <c r="BE189" s="3" t="s">
        <v>79</v>
      </c>
      <c r="BF189" s="3" t="s">
        <v>80</v>
      </c>
      <c r="BG189" s="3" t="s">
        <v>416</v>
      </c>
      <c r="BH189" s="3">
        <f t="shared" si="36"/>
        <v>3</v>
      </c>
      <c r="BI189" s="3" t="str">
        <f t="shared" si="39"/>
        <v>C4</v>
      </c>
      <c r="BJ189" s="3">
        <v>89</v>
      </c>
      <c r="BK189" s="3" t="str">
        <f t="shared" si="40"/>
        <v>H11</v>
      </c>
      <c r="BL189" s="3">
        <v>1.5</v>
      </c>
      <c r="BM189" s="3">
        <v>1.5</v>
      </c>
      <c r="BN189" s="3">
        <f t="shared" si="41"/>
        <v>7.0981240000000012</v>
      </c>
      <c r="BO189" s="3">
        <f t="shared" si="42"/>
        <v>5.5981240000000012</v>
      </c>
      <c r="BP189" s="3" t="s">
        <v>419</v>
      </c>
      <c r="BQ189">
        <v>11</v>
      </c>
      <c r="BR189" t="s">
        <v>92</v>
      </c>
      <c r="BS189" s="3">
        <v>1</v>
      </c>
      <c r="BT189" s="3" t="s">
        <v>418</v>
      </c>
      <c r="BU189" s="3">
        <v>2</v>
      </c>
      <c r="BV189" s="3" t="str">
        <f t="shared" si="43"/>
        <v>H11</v>
      </c>
      <c r="BW189" s="3">
        <f t="shared" si="44"/>
        <v>5.5981240000000012</v>
      </c>
      <c r="BX189" s="21" t="s">
        <v>417</v>
      </c>
      <c r="BY189" s="3" t="str">
        <f t="shared" si="24"/>
        <v>Och-C_DilutionPlate</v>
      </c>
      <c r="BZ189" s="3" t="str">
        <f t="shared" si="25"/>
        <v>H11</v>
      </c>
      <c r="CA189" s="3" t="str">
        <f t="shared" si="26"/>
        <v>Och-C</v>
      </c>
      <c r="CC189" s="3">
        <v>1.5</v>
      </c>
      <c r="CD189" t="s">
        <v>577</v>
      </c>
      <c r="CE189" s="21" t="str">
        <f t="shared" si="45"/>
        <v>OcC0203804C</v>
      </c>
      <c r="CF189" s="21" t="str">
        <f t="shared" si="27"/>
        <v>Och-CCat_038-Ex1-4C-lcwgs-1-1</v>
      </c>
      <c r="CG189" s="3">
        <f t="shared" si="37"/>
        <v>0.31698516396726795</v>
      </c>
      <c r="CH189">
        <v>2646440</v>
      </c>
      <c r="CI189">
        <v>2140215</v>
      </c>
      <c r="CJ189" t="s">
        <v>79</v>
      </c>
      <c r="CK189" s="3">
        <v>9.1511505173915513</v>
      </c>
      <c r="CL189" t="s">
        <v>1201</v>
      </c>
      <c r="CM189" s="33" t="s">
        <v>1788</v>
      </c>
      <c r="CN189" s="3" t="str">
        <f t="shared" si="38"/>
        <v>Och-CCat_038-Ex1-4C-lcwgs-1-2</v>
      </c>
      <c r="CR189"/>
    </row>
    <row r="190" spans="1:96" x14ac:dyDescent="0.55000000000000004">
      <c r="A190" t="s">
        <v>346</v>
      </c>
      <c r="B190" t="s">
        <v>347</v>
      </c>
      <c r="C190" s="3">
        <v>1</v>
      </c>
      <c r="E190" t="s">
        <v>329</v>
      </c>
      <c r="F190">
        <v>1</v>
      </c>
      <c r="G190" t="s">
        <v>83</v>
      </c>
      <c r="H190">
        <v>2.0920740372317748</v>
      </c>
      <c r="I190" s="3" t="s">
        <v>74</v>
      </c>
      <c r="J190" s="3">
        <v>0.1</v>
      </c>
      <c r="K190" s="3">
        <v>7.25</v>
      </c>
      <c r="L190" s="3">
        <v>0.33</v>
      </c>
      <c r="O190" s="3">
        <v>94.143331675429863</v>
      </c>
      <c r="P190" s="3">
        <v>45</v>
      </c>
      <c r="R190" s="3">
        <v>10</v>
      </c>
      <c r="S190" s="4">
        <v>45058</v>
      </c>
      <c r="T190" s="3" t="s">
        <v>282</v>
      </c>
      <c r="U190" s="3" t="s">
        <v>283</v>
      </c>
      <c r="V190" s="11" t="s">
        <v>84</v>
      </c>
      <c r="W190" s="11">
        <v>8</v>
      </c>
      <c r="X190" s="11" t="s">
        <v>92</v>
      </c>
      <c r="Y190" s="11">
        <v>8</v>
      </c>
      <c r="Z190">
        <v>4</v>
      </c>
      <c r="AA190" t="s">
        <v>92</v>
      </c>
      <c r="AB190" t="s">
        <v>284</v>
      </c>
      <c r="AC190" s="3" t="s">
        <v>78</v>
      </c>
      <c r="AD190" s="3">
        <v>6</v>
      </c>
      <c r="AE190">
        <v>4</v>
      </c>
      <c r="AF190" t="s">
        <v>92</v>
      </c>
      <c r="AG190" t="s">
        <v>706</v>
      </c>
      <c r="AH190" s="17" t="s">
        <v>707</v>
      </c>
      <c r="AI190" t="s">
        <v>698</v>
      </c>
      <c r="AJ190" s="18" t="s">
        <v>699</v>
      </c>
      <c r="AO190" s="10">
        <v>4.3678850000000002</v>
      </c>
      <c r="AP190" s="3">
        <v>37</v>
      </c>
      <c r="AQ190" s="3">
        <f t="shared" si="23"/>
        <v>161.61174500000001</v>
      </c>
      <c r="BE190" s="3" t="s">
        <v>79</v>
      </c>
      <c r="BF190" s="3" t="s">
        <v>80</v>
      </c>
      <c r="BG190" s="3" t="s">
        <v>416</v>
      </c>
      <c r="BH190" s="3">
        <f t="shared" ref="BH190:BH221" si="46">IF(AB190="PIRE-C_LibrariesforCapture_Jan2023-2",2,3)</f>
        <v>3</v>
      </c>
      <c r="BI190" s="3" t="str">
        <f t="shared" si="39"/>
        <v>H4</v>
      </c>
      <c r="BJ190" s="3">
        <v>53</v>
      </c>
      <c r="BK190" s="3" t="str">
        <f t="shared" si="40"/>
        <v>D7</v>
      </c>
      <c r="BL190" s="3">
        <v>1.5</v>
      </c>
      <c r="BM190" s="3">
        <v>1.5</v>
      </c>
      <c r="BN190" s="3">
        <f t="shared" si="41"/>
        <v>4.3678850000000002</v>
      </c>
      <c r="BO190" s="3">
        <f t="shared" si="42"/>
        <v>2.8678850000000002</v>
      </c>
      <c r="BP190" s="3" t="s">
        <v>419</v>
      </c>
      <c r="BQ190">
        <v>7</v>
      </c>
      <c r="BR190" t="s">
        <v>84</v>
      </c>
      <c r="BS190" s="3">
        <v>1</v>
      </c>
      <c r="BT190" s="3" t="s">
        <v>418</v>
      </c>
      <c r="BU190" s="3">
        <v>2</v>
      </c>
      <c r="BV190" s="3" t="str">
        <f t="shared" si="43"/>
        <v>D7</v>
      </c>
      <c r="BW190" s="3">
        <f t="shared" si="44"/>
        <v>2.8678850000000002</v>
      </c>
      <c r="BX190" s="21" t="s">
        <v>417</v>
      </c>
      <c r="BY190" s="3" t="str">
        <f t="shared" si="24"/>
        <v>Och-C_DilutionPlate</v>
      </c>
      <c r="BZ190" s="3" t="str">
        <f t="shared" si="25"/>
        <v>D7</v>
      </c>
      <c r="CA190" s="3" t="str">
        <f t="shared" si="26"/>
        <v>Och-C</v>
      </c>
      <c r="CC190" s="3">
        <v>1.5</v>
      </c>
      <c r="CD190" t="s">
        <v>582</v>
      </c>
      <c r="CE190" s="21" t="str">
        <f t="shared" si="45"/>
        <v>OcC0204704H</v>
      </c>
      <c r="CF190" s="21" t="str">
        <f t="shared" si="27"/>
        <v>Och-CCat_047-Ex1-4H-lcwgs-1-1</v>
      </c>
      <c r="CG190" s="3">
        <f t="shared" si="37"/>
        <v>0.51512345219711597</v>
      </c>
      <c r="CH190">
        <v>2652122</v>
      </c>
      <c r="CI190">
        <v>2133577</v>
      </c>
      <c r="CJ190" t="s">
        <v>79</v>
      </c>
      <c r="CK190" s="3">
        <v>14.92016323111198</v>
      </c>
      <c r="CL190" t="s">
        <v>1201</v>
      </c>
      <c r="CM190" s="33" t="s">
        <v>1789</v>
      </c>
      <c r="CN190" s="3" t="str">
        <f t="shared" si="38"/>
        <v>Och-CCat_047-Ex1-4H-lcwgs-1-2</v>
      </c>
      <c r="CR190"/>
    </row>
    <row r="191" spans="1:96" x14ac:dyDescent="0.55000000000000004">
      <c r="A191" t="s">
        <v>398</v>
      </c>
      <c r="B191" t="s">
        <v>399</v>
      </c>
      <c r="C191" s="3">
        <v>1</v>
      </c>
      <c r="E191" t="s">
        <v>329</v>
      </c>
      <c r="F191">
        <v>5</v>
      </c>
      <c r="G191" t="s">
        <v>83</v>
      </c>
      <c r="H191">
        <v>5.7322793804177916</v>
      </c>
      <c r="I191" s="3" t="s">
        <v>74</v>
      </c>
      <c r="J191" s="3">
        <v>0.1</v>
      </c>
      <c r="K191" s="3">
        <v>7.25</v>
      </c>
      <c r="L191" s="3">
        <v>0.33</v>
      </c>
      <c r="O191" s="3">
        <v>100</v>
      </c>
      <c r="P191" s="3">
        <v>17.445067374352504</v>
      </c>
      <c r="R191" s="3">
        <v>10</v>
      </c>
      <c r="S191" s="4">
        <v>45058</v>
      </c>
      <c r="T191" s="3" t="s">
        <v>282</v>
      </c>
      <c r="U191" s="3" t="s">
        <v>283</v>
      </c>
      <c r="V191" s="11" t="s">
        <v>73</v>
      </c>
      <c r="W191" s="11">
        <v>16</v>
      </c>
      <c r="X191" s="11" t="s">
        <v>87</v>
      </c>
      <c r="Y191" s="11">
        <v>16</v>
      </c>
      <c r="Z191">
        <v>8</v>
      </c>
      <c r="AA191" t="s">
        <v>76</v>
      </c>
      <c r="AB191" t="s">
        <v>284</v>
      </c>
      <c r="AC191" s="3" t="s">
        <v>78</v>
      </c>
      <c r="AD191" s="3">
        <v>6</v>
      </c>
      <c r="AE191">
        <v>8</v>
      </c>
      <c r="AF191" t="s">
        <v>76</v>
      </c>
      <c r="AG191" t="s">
        <v>640</v>
      </c>
      <c r="AH191" s="17" t="s">
        <v>641</v>
      </c>
      <c r="AI191" t="s">
        <v>674</v>
      </c>
      <c r="AJ191" s="18" t="s">
        <v>675</v>
      </c>
      <c r="AO191" s="10">
        <v>4.5956510000000002</v>
      </c>
      <c r="AP191" s="3">
        <v>37</v>
      </c>
      <c r="AQ191" s="3">
        <f t="shared" si="23"/>
        <v>170.03908699999999</v>
      </c>
      <c r="BE191" s="3" t="s">
        <v>79</v>
      </c>
      <c r="BF191" s="3" t="s">
        <v>80</v>
      </c>
      <c r="BG191" s="3" t="s">
        <v>416</v>
      </c>
      <c r="BH191" s="3">
        <f t="shared" si="46"/>
        <v>3</v>
      </c>
      <c r="BI191" s="3" t="str">
        <f t="shared" si="39"/>
        <v>B8</v>
      </c>
      <c r="BJ191" s="3">
        <v>60</v>
      </c>
      <c r="BK191" s="3" t="str">
        <f t="shared" si="40"/>
        <v>C8</v>
      </c>
      <c r="BL191" s="3">
        <v>1.5</v>
      </c>
      <c r="BM191" s="3">
        <v>1.5</v>
      </c>
      <c r="BN191" s="3">
        <f t="shared" si="41"/>
        <v>4.5956510000000002</v>
      </c>
      <c r="BO191" s="3">
        <f t="shared" si="42"/>
        <v>3.0956510000000002</v>
      </c>
      <c r="BP191" s="3" t="s">
        <v>419</v>
      </c>
      <c r="BQ191">
        <v>8</v>
      </c>
      <c r="BR191" t="s">
        <v>83</v>
      </c>
      <c r="BS191" s="3">
        <v>1</v>
      </c>
      <c r="BT191" s="3" t="s">
        <v>418</v>
      </c>
      <c r="BU191" s="3">
        <v>2</v>
      </c>
      <c r="BV191" s="3" t="str">
        <f t="shared" si="43"/>
        <v>C8</v>
      </c>
      <c r="BW191" s="3">
        <f t="shared" si="44"/>
        <v>3.0956510000000002</v>
      </c>
      <c r="BX191" s="21" t="s">
        <v>417</v>
      </c>
      <c r="BY191" s="3" t="str">
        <f t="shared" si="24"/>
        <v>Och-C_DilutionPlate</v>
      </c>
      <c r="BZ191" s="3" t="str">
        <f t="shared" si="25"/>
        <v>C8</v>
      </c>
      <c r="CA191" s="3" t="str">
        <f t="shared" si="26"/>
        <v>Och-C</v>
      </c>
      <c r="CC191" s="3">
        <v>1.5</v>
      </c>
      <c r="CD191" t="s">
        <v>607</v>
      </c>
      <c r="CE191" s="21" t="str">
        <f t="shared" si="45"/>
        <v>OcC0205108B</v>
      </c>
      <c r="CF191" s="21" t="str">
        <f t="shared" si="27"/>
        <v>Och-CCat_051-Ex1-8B-lcwgs-1-1</v>
      </c>
      <c r="CG191" s="3">
        <f t="shared" si="37"/>
        <v>0.48959331333036388</v>
      </c>
      <c r="CH191">
        <v>4452790</v>
      </c>
      <c r="CI191">
        <v>3408288</v>
      </c>
      <c r="CJ191" t="s">
        <v>79</v>
      </c>
      <c r="CK191" s="3">
        <v>8.5771879564671494</v>
      </c>
      <c r="CL191" t="s">
        <v>1201</v>
      </c>
      <c r="CM191" s="33" t="s">
        <v>1790</v>
      </c>
      <c r="CN191" s="3" t="str">
        <f t="shared" si="38"/>
        <v>Och-CCat_051-Ex1-8B-lcwgs-1-2</v>
      </c>
      <c r="CR191"/>
    </row>
    <row r="192" spans="1:96" x14ac:dyDescent="0.55000000000000004">
      <c r="A192" t="s">
        <v>400</v>
      </c>
      <c r="B192" t="s">
        <v>401</v>
      </c>
      <c r="C192" s="3">
        <v>1</v>
      </c>
      <c r="E192" t="s">
        <v>329</v>
      </c>
      <c r="F192">
        <v>1</v>
      </c>
      <c r="G192" t="s">
        <v>84</v>
      </c>
      <c r="H192">
        <v>5.958313201648429</v>
      </c>
      <c r="I192" s="3" t="s">
        <v>74</v>
      </c>
      <c r="J192" s="3">
        <v>0.1</v>
      </c>
      <c r="K192" s="3">
        <v>7.25</v>
      </c>
      <c r="L192" s="3">
        <v>0.33</v>
      </c>
      <c r="O192" s="3">
        <v>100</v>
      </c>
      <c r="P192" s="3">
        <v>16.783273489606749</v>
      </c>
      <c r="R192" s="3">
        <v>10</v>
      </c>
      <c r="S192" s="4">
        <v>45058</v>
      </c>
      <c r="T192" s="3" t="s">
        <v>282</v>
      </c>
      <c r="U192" s="3" t="s">
        <v>283</v>
      </c>
      <c r="V192" s="11" t="s">
        <v>76</v>
      </c>
      <c r="W192" s="11">
        <v>15</v>
      </c>
      <c r="X192" s="11" t="s">
        <v>88</v>
      </c>
      <c r="Y192" s="11">
        <v>15</v>
      </c>
      <c r="Z192">
        <v>8</v>
      </c>
      <c r="AA192" t="s">
        <v>83</v>
      </c>
      <c r="AB192" t="s">
        <v>284</v>
      </c>
      <c r="AC192" s="3" t="s">
        <v>78</v>
      </c>
      <c r="AD192" s="3">
        <v>6</v>
      </c>
      <c r="AE192">
        <v>8</v>
      </c>
      <c r="AF192" t="s">
        <v>83</v>
      </c>
      <c r="AG192" t="s">
        <v>642</v>
      </c>
      <c r="AH192" s="17" t="s">
        <v>643</v>
      </c>
      <c r="AI192" t="s">
        <v>674</v>
      </c>
      <c r="AJ192" s="18" t="s">
        <v>675</v>
      </c>
      <c r="AO192" s="10">
        <v>3.9504649999999999</v>
      </c>
      <c r="AP192" s="3">
        <v>37</v>
      </c>
      <c r="AQ192" s="3">
        <f t="shared" si="23"/>
        <v>146.167205</v>
      </c>
      <c r="BE192" s="3" t="s">
        <v>79</v>
      </c>
      <c r="BF192" s="3" t="s">
        <v>80</v>
      </c>
      <c r="BG192" s="3" t="s">
        <v>416</v>
      </c>
      <c r="BH192" s="3">
        <f t="shared" si="46"/>
        <v>3</v>
      </c>
      <c r="BI192" s="3" t="str">
        <f t="shared" si="39"/>
        <v>C8</v>
      </c>
      <c r="BJ192" s="3">
        <v>40</v>
      </c>
      <c r="BK192" s="3" t="str">
        <f t="shared" si="40"/>
        <v>G5</v>
      </c>
      <c r="BL192" s="3">
        <v>1.5</v>
      </c>
      <c r="BM192" s="3">
        <v>1.5</v>
      </c>
      <c r="BN192" s="3">
        <f t="shared" si="41"/>
        <v>3.9504649999999999</v>
      </c>
      <c r="BO192" s="3">
        <f t="shared" si="42"/>
        <v>2.4504649999999999</v>
      </c>
      <c r="BP192" s="3" t="s">
        <v>419</v>
      </c>
      <c r="BQ192">
        <v>5</v>
      </c>
      <c r="BR192" t="s">
        <v>91</v>
      </c>
      <c r="BS192" s="3">
        <v>1</v>
      </c>
      <c r="BT192" s="3" t="s">
        <v>418</v>
      </c>
      <c r="BU192" s="3">
        <v>2</v>
      </c>
      <c r="BV192" s="3" t="str">
        <f t="shared" si="43"/>
        <v>G5</v>
      </c>
      <c r="BW192" s="3">
        <f t="shared" si="44"/>
        <v>2.4504649999999999</v>
      </c>
      <c r="BX192" s="21" t="s">
        <v>417</v>
      </c>
      <c r="BY192" s="3" t="str">
        <f t="shared" si="24"/>
        <v>Och-C_DilutionPlate</v>
      </c>
      <c r="BZ192" s="3" t="str">
        <f t="shared" si="25"/>
        <v>G5</v>
      </c>
      <c r="CA192" s="3" t="str">
        <f t="shared" si="26"/>
        <v>Och-C</v>
      </c>
      <c r="CC192" s="3">
        <v>1.5</v>
      </c>
      <c r="CD192" t="s">
        <v>608</v>
      </c>
      <c r="CE192" s="21" t="str">
        <f t="shared" si="45"/>
        <v>OcC0205908C</v>
      </c>
      <c r="CF192" s="21" t="str">
        <f t="shared" si="27"/>
        <v>Och-CCat_059-Ex1-8C-lcwgs-1-1</v>
      </c>
      <c r="CG192" s="3">
        <f t="shared" si="37"/>
        <v>0.56955320449617952</v>
      </c>
      <c r="CH192">
        <v>2607983</v>
      </c>
      <c r="CI192">
        <v>1962272</v>
      </c>
      <c r="CJ192" t="s">
        <v>79</v>
      </c>
      <c r="CK192" s="3">
        <v>18.018259625055553</v>
      </c>
      <c r="CL192" t="s">
        <v>1201</v>
      </c>
      <c r="CM192" s="33" t="s">
        <v>1791</v>
      </c>
      <c r="CN192" s="3" t="str">
        <f t="shared" si="38"/>
        <v>Och-CCat_059-Ex1-8C-lcwgs-1-2</v>
      </c>
      <c r="CR192"/>
    </row>
    <row r="193" spans="1:96" x14ac:dyDescent="0.55000000000000004">
      <c r="A193" t="s">
        <v>356</v>
      </c>
      <c r="B193" t="s">
        <v>357</v>
      </c>
      <c r="C193" s="3">
        <v>1</v>
      </c>
      <c r="E193" t="s">
        <v>329</v>
      </c>
      <c r="F193">
        <v>5</v>
      </c>
      <c r="G193" t="s">
        <v>84</v>
      </c>
      <c r="H193">
        <v>2.7052188432570698</v>
      </c>
      <c r="I193" s="3" t="s">
        <v>74</v>
      </c>
      <c r="J193" s="3">
        <v>0.1</v>
      </c>
      <c r="K193" s="3">
        <v>7.25</v>
      </c>
      <c r="L193" s="3">
        <v>0.33</v>
      </c>
      <c r="O193" s="3">
        <v>100</v>
      </c>
      <c r="P193" s="3">
        <v>36.965586074212212</v>
      </c>
      <c r="R193" s="3">
        <v>10</v>
      </c>
      <c r="S193" s="4">
        <v>45058</v>
      </c>
      <c r="T193" s="3" t="s">
        <v>282</v>
      </c>
      <c r="U193" s="3" t="s">
        <v>283</v>
      </c>
      <c r="V193" s="11" t="s">
        <v>83</v>
      </c>
      <c r="W193" s="11">
        <v>9</v>
      </c>
      <c r="X193" s="11" t="s">
        <v>91</v>
      </c>
      <c r="Y193" s="11">
        <v>9</v>
      </c>
      <c r="Z193">
        <v>5</v>
      </c>
      <c r="AA193" t="s">
        <v>87</v>
      </c>
      <c r="AB193" t="s">
        <v>284</v>
      </c>
      <c r="AC193" s="3" t="s">
        <v>78</v>
      </c>
      <c r="AD193" s="3">
        <v>6</v>
      </c>
      <c r="AE193">
        <v>5</v>
      </c>
      <c r="AF193" t="s">
        <v>87</v>
      </c>
      <c r="AG193" t="s">
        <v>646</v>
      </c>
      <c r="AH193" s="17" t="s">
        <v>647</v>
      </c>
      <c r="AI193" t="s">
        <v>654</v>
      </c>
      <c r="AJ193" s="18" t="s">
        <v>655</v>
      </c>
      <c r="AO193" s="10">
        <v>4.8144609999999997</v>
      </c>
      <c r="AP193" s="3">
        <v>37</v>
      </c>
      <c r="AQ193" s="3">
        <f t="shared" si="23"/>
        <v>178.13505699999999</v>
      </c>
      <c r="BE193" s="3" t="s">
        <v>79</v>
      </c>
      <c r="BF193" s="3" t="s">
        <v>80</v>
      </c>
      <c r="BG193" s="3" t="s">
        <v>416</v>
      </c>
      <c r="BH193" s="3">
        <f t="shared" si="46"/>
        <v>3</v>
      </c>
      <c r="BI193" s="3" t="str">
        <f t="shared" si="39"/>
        <v>E5</v>
      </c>
      <c r="BJ193" s="3">
        <v>61</v>
      </c>
      <c r="BK193" s="3" t="str">
        <f t="shared" si="40"/>
        <v>D8</v>
      </c>
      <c r="BL193" s="3">
        <v>1.5</v>
      </c>
      <c r="BM193" s="3">
        <v>1.5</v>
      </c>
      <c r="BN193" s="3">
        <f t="shared" si="41"/>
        <v>4.8144609999999997</v>
      </c>
      <c r="BO193" s="3">
        <f t="shared" si="42"/>
        <v>3.3144609999999997</v>
      </c>
      <c r="BP193" s="3" t="s">
        <v>419</v>
      </c>
      <c r="BQ193">
        <v>8</v>
      </c>
      <c r="BR193" t="s">
        <v>84</v>
      </c>
      <c r="BS193" s="3">
        <v>1</v>
      </c>
      <c r="BT193" s="3" t="s">
        <v>418</v>
      </c>
      <c r="BU193" s="3">
        <v>2</v>
      </c>
      <c r="BV193" s="3" t="str">
        <f t="shared" si="43"/>
        <v>D8</v>
      </c>
      <c r="BW193" s="3">
        <f t="shared" si="44"/>
        <v>3.3144609999999997</v>
      </c>
      <c r="BX193" s="21" t="s">
        <v>417</v>
      </c>
      <c r="BY193" s="3" t="str">
        <f t="shared" si="24"/>
        <v>Och-C_DilutionPlate</v>
      </c>
      <c r="BZ193" s="3" t="str">
        <f t="shared" si="25"/>
        <v>D8</v>
      </c>
      <c r="CA193" s="3" t="str">
        <f t="shared" si="26"/>
        <v>Och-C</v>
      </c>
      <c r="CC193" s="3">
        <v>1.5</v>
      </c>
      <c r="CD193" t="s">
        <v>587</v>
      </c>
      <c r="CE193" s="21" t="str">
        <f t="shared" si="45"/>
        <v>OcC0206305E</v>
      </c>
      <c r="CF193" s="21" t="str">
        <f t="shared" si="27"/>
        <v>Och-CCat_063-Ex1-5E-lcwgs-1-1</v>
      </c>
      <c r="CG193" s="3">
        <f t="shared" si="37"/>
        <v>0.46734203475736952</v>
      </c>
      <c r="CH193">
        <v>6336215</v>
      </c>
      <c r="CI193">
        <v>5058404</v>
      </c>
      <c r="CJ193" t="s">
        <v>79</v>
      </c>
      <c r="CK193" s="3">
        <v>5.2668665445716663</v>
      </c>
      <c r="CL193" t="s">
        <v>1201</v>
      </c>
      <c r="CM193" s="33" t="s">
        <v>1792</v>
      </c>
      <c r="CN193" s="3" t="str">
        <f t="shared" si="38"/>
        <v>Och-CCat_063-Ex1-5E-lcwgs-1-2</v>
      </c>
      <c r="CR193"/>
    </row>
    <row r="194" spans="1:96" x14ac:dyDescent="0.55000000000000004">
      <c r="A194" t="s">
        <v>342</v>
      </c>
      <c r="B194" t="s">
        <v>343</v>
      </c>
      <c r="C194" s="3">
        <v>1</v>
      </c>
      <c r="E194" t="s">
        <v>329</v>
      </c>
      <c r="F194">
        <v>7</v>
      </c>
      <c r="G194" t="s">
        <v>84</v>
      </c>
      <c r="H194">
        <v>1.9565191132584907</v>
      </c>
      <c r="I194" s="3" t="s">
        <v>74</v>
      </c>
      <c r="J194" s="3">
        <v>0.1</v>
      </c>
      <c r="K194" s="3">
        <v>7.25</v>
      </c>
      <c r="L194" s="3">
        <v>0.33</v>
      </c>
      <c r="O194" s="3">
        <v>88.043360096632085</v>
      </c>
      <c r="P194" s="3">
        <v>45</v>
      </c>
      <c r="R194" s="3">
        <v>10</v>
      </c>
      <c r="S194" s="4">
        <v>45058</v>
      </c>
      <c r="T194" s="3" t="s">
        <v>282</v>
      </c>
      <c r="U194" s="3" t="s">
        <v>283</v>
      </c>
      <c r="V194" s="11" t="s">
        <v>83</v>
      </c>
      <c r="W194" s="11">
        <v>8</v>
      </c>
      <c r="X194" s="11" t="s">
        <v>91</v>
      </c>
      <c r="Y194" s="11">
        <v>8</v>
      </c>
      <c r="Z194">
        <v>4</v>
      </c>
      <c r="AA194" t="s">
        <v>88</v>
      </c>
      <c r="AB194" t="s">
        <v>284</v>
      </c>
      <c r="AC194" s="3" t="s">
        <v>78</v>
      </c>
      <c r="AD194" s="3">
        <v>6</v>
      </c>
      <c r="AE194">
        <v>4</v>
      </c>
      <c r="AF194" t="s">
        <v>88</v>
      </c>
      <c r="AG194" t="s">
        <v>648</v>
      </c>
      <c r="AH194" s="17" t="s">
        <v>649</v>
      </c>
      <c r="AI194" t="s">
        <v>698</v>
      </c>
      <c r="AJ194" s="18" t="s">
        <v>699</v>
      </c>
      <c r="AO194" s="10">
        <v>8.2852060000000005</v>
      </c>
      <c r="AP194" s="3">
        <v>37</v>
      </c>
      <c r="AQ194" s="3">
        <f t="shared" ref="AQ194:AQ257" si="47">AO194*AP194</f>
        <v>306.55262200000004</v>
      </c>
      <c r="BE194" s="3" t="s">
        <v>79</v>
      </c>
      <c r="BF194" s="3" t="s">
        <v>80</v>
      </c>
      <c r="BG194" s="3" t="s">
        <v>416</v>
      </c>
      <c r="BH194" s="3">
        <f t="shared" si="46"/>
        <v>3</v>
      </c>
      <c r="BI194" s="3" t="str">
        <f t="shared" si="39"/>
        <v>F4</v>
      </c>
      <c r="BJ194" s="3">
        <v>95</v>
      </c>
      <c r="BK194" s="3" t="str">
        <f t="shared" si="40"/>
        <v>F12</v>
      </c>
      <c r="BL194" s="3">
        <v>1.5</v>
      </c>
      <c r="BM194" s="3">
        <v>1.5</v>
      </c>
      <c r="BN194" s="3">
        <f t="shared" si="41"/>
        <v>8.2852060000000005</v>
      </c>
      <c r="BO194" s="3">
        <f t="shared" si="42"/>
        <v>6.7852060000000005</v>
      </c>
      <c r="BP194" s="3" t="s">
        <v>419</v>
      </c>
      <c r="BQ194">
        <v>12</v>
      </c>
      <c r="BR194" t="s">
        <v>88</v>
      </c>
      <c r="BS194" s="3">
        <v>1</v>
      </c>
      <c r="BT194" s="3" t="s">
        <v>418</v>
      </c>
      <c r="BU194" s="3">
        <v>2</v>
      </c>
      <c r="BV194" s="3" t="str">
        <f t="shared" si="43"/>
        <v>F12</v>
      </c>
      <c r="BW194" s="3">
        <f t="shared" si="44"/>
        <v>6.7852060000000005</v>
      </c>
      <c r="BX194" s="21" t="s">
        <v>417</v>
      </c>
      <c r="BY194" s="3" t="str">
        <f t="shared" si="24"/>
        <v>Och-C_DilutionPlate</v>
      </c>
      <c r="BZ194" s="3" t="str">
        <f t="shared" si="25"/>
        <v>F12</v>
      </c>
      <c r="CA194" s="3" t="str">
        <f t="shared" si="26"/>
        <v>Och-C</v>
      </c>
      <c r="CC194" s="3">
        <v>1.5</v>
      </c>
      <c r="CD194" t="s">
        <v>580</v>
      </c>
      <c r="CE194" s="21" t="str">
        <f t="shared" si="45"/>
        <v>OcC0206504F</v>
      </c>
      <c r="CF194" s="21" t="str">
        <f t="shared" si="27"/>
        <v>Och-CCat_065-Ex1-4F-lcwgs-1-1</v>
      </c>
      <c r="CG194" s="3">
        <f t="shared" si="37"/>
        <v>0.27156838345359186</v>
      </c>
      <c r="CH194">
        <v>4046372</v>
      </c>
      <c r="CI194">
        <v>3289610</v>
      </c>
      <c r="CJ194" t="s">
        <v>79</v>
      </c>
      <c r="CK194" s="3">
        <v>4.9452917196181749</v>
      </c>
      <c r="CL194" t="s">
        <v>1201</v>
      </c>
      <c r="CM194" s="33" t="s">
        <v>1793</v>
      </c>
      <c r="CN194" s="3" t="str">
        <f t="shared" si="38"/>
        <v>Och-CCat_065-Ex1-4F-lcwgs-1-2</v>
      </c>
      <c r="CR194"/>
    </row>
    <row r="195" spans="1:96" x14ac:dyDescent="0.55000000000000004">
      <c r="A195" t="s">
        <v>380</v>
      </c>
      <c r="B195" t="s">
        <v>381</v>
      </c>
      <c r="C195" s="3">
        <v>1</v>
      </c>
      <c r="E195" t="s">
        <v>329</v>
      </c>
      <c r="F195">
        <v>8</v>
      </c>
      <c r="G195" t="s">
        <v>84</v>
      </c>
      <c r="H195">
        <v>3.6357716356401872</v>
      </c>
      <c r="I195" s="3" t="s">
        <v>74</v>
      </c>
      <c r="J195" s="3">
        <v>0.1</v>
      </c>
      <c r="K195" s="3">
        <v>7.25</v>
      </c>
      <c r="L195" s="3">
        <v>0.33</v>
      </c>
      <c r="O195" s="3">
        <v>100</v>
      </c>
      <c r="P195" s="3">
        <v>27.504477734447143</v>
      </c>
      <c r="R195" s="3">
        <v>10</v>
      </c>
      <c r="S195" s="4">
        <v>45058</v>
      </c>
      <c r="T195" s="3" t="s">
        <v>282</v>
      </c>
      <c r="U195" s="3" t="s">
        <v>283</v>
      </c>
      <c r="V195" s="11" t="s">
        <v>73</v>
      </c>
      <c r="W195" s="11">
        <v>13</v>
      </c>
      <c r="X195" s="11" t="s">
        <v>87</v>
      </c>
      <c r="Y195" s="11">
        <v>13</v>
      </c>
      <c r="Z195">
        <v>7</v>
      </c>
      <c r="AA195" t="s">
        <v>73</v>
      </c>
      <c r="AB195" t="s">
        <v>284</v>
      </c>
      <c r="AC195" s="3" t="s">
        <v>78</v>
      </c>
      <c r="AD195" s="3">
        <v>6</v>
      </c>
      <c r="AE195">
        <v>7</v>
      </c>
      <c r="AF195" t="s">
        <v>73</v>
      </c>
      <c r="AG195" t="s">
        <v>614</v>
      </c>
      <c r="AH195" s="17" t="s">
        <v>615</v>
      </c>
      <c r="AI195" t="s">
        <v>672</v>
      </c>
      <c r="AJ195" s="18" t="s">
        <v>673</v>
      </c>
      <c r="AO195" s="10">
        <v>6.324872</v>
      </c>
      <c r="AP195" s="3">
        <v>37</v>
      </c>
      <c r="AQ195" s="3">
        <f t="shared" si="47"/>
        <v>234.020264</v>
      </c>
      <c r="BE195" s="3" t="s">
        <v>79</v>
      </c>
      <c r="BF195" s="3" t="s">
        <v>80</v>
      </c>
      <c r="BG195" s="3" t="s">
        <v>416</v>
      </c>
      <c r="BH195" s="3">
        <f t="shared" si="46"/>
        <v>3</v>
      </c>
      <c r="BI195" s="3" t="str">
        <f t="shared" si="39"/>
        <v>A7</v>
      </c>
      <c r="BJ195" s="3">
        <v>84</v>
      </c>
      <c r="BK195" s="3" t="str">
        <f t="shared" si="40"/>
        <v>C11</v>
      </c>
      <c r="BL195" s="3">
        <v>1.5</v>
      </c>
      <c r="BM195" s="3">
        <v>1.5</v>
      </c>
      <c r="BN195" s="3">
        <f t="shared" si="41"/>
        <v>6.324872</v>
      </c>
      <c r="BO195" s="3">
        <f t="shared" si="42"/>
        <v>4.824872</v>
      </c>
      <c r="BP195" s="3" t="s">
        <v>419</v>
      </c>
      <c r="BQ195">
        <v>11</v>
      </c>
      <c r="BR195" t="s">
        <v>83</v>
      </c>
      <c r="BS195" s="3">
        <v>1</v>
      </c>
      <c r="BT195" s="3" t="s">
        <v>418</v>
      </c>
      <c r="BU195" s="3">
        <v>2</v>
      </c>
      <c r="BV195" s="3" t="str">
        <f t="shared" si="43"/>
        <v>C11</v>
      </c>
      <c r="BW195" s="3">
        <f t="shared" si="44"/>
        <v>4.824872</v>
      </c>
      <c r="BX195" s="21" t="s">
        <v>417</v>
      </c>
      <c r="BY195" s="3" t="str">
        <f t="shared" si="24"/>
        <v>Och-C_DilutionPlate</v>
      </c>
      <c r="BZ195" s="3" t="str">
        <f t="shared" si="25"/>
        <v>C11</v>
      </c>
      <c r="CA195" s="3" t="str">
        <f t="shared" si="26"/>
        <v>Och-C</v>
      </c>
      <c r="CC195" s="3">
        <v>1.5</v>
      </c>
      <c r="CD195" t="s">
        <v>598</v>
      </c>
      <c r="CE195" s="21" t="str">
        <f t="shared" si="45"/>
        <v>OcC0206607A</v>
      </c>
      <c r="CF195" s="21" t="str">
        <f t="shared" si="27"/>
        <v>Och-CCat_066-Ex1-7A-lcwgs-1-1</v>
      </c>
      <c r="CG195" s="3">
        <f t="shared" si="37"/>
        <v>0.35573842442977499</v>
      </c>
      <c r="CH195">
        <v>3956818</v>
      </c>
      <c r="CI195">
        <v>3208839</v>
      </c>
      <c r="CJ195" t="s">
        <v>79</v>
      </c>
      <c r="CK195" s="3">
        <v>6.6557642377374204</v>
      </c>
      <c r="CL195" t="s">
        <v>1201</v>
      </c>
      <c r="CM195" s="33" t="s">
        <v>1794</v>
      </c>
      <c r="CN195" s="3" t="str">
        <f t="shared" si="38"/>
        <v>Och-CCat_066-Ex1-7A-lcwgs-1-2</v>
      </c>
      <c r="CR195"/>
    </row>
    <row r="196" spans="1:96" x14ac:dyDescent="0.55000000000000004">
      <c r="A196" t="s">
        <v>344</v>
      </c>
      <c r="B196" t="s">
        <v>345</v>
      </c>
      <c r="C196" s="3">
        <v>1</v>
      </c>
      <c r="E196" t="s">
        <v>329</v>
      </c>
      <c r="F196">
        <v>10</v>
      </c>
      <c r="G196" t="s">
        <v>84</v>
      </c>
      <c r="H196">
        <v>2.0561070058263464</v>
      </c>
      <c r="I196" s="3" t="s">
        <v>74</v>
      </c>
      <c r="J196" s="3">
        <v>0.1</v>
      </c>
      <c r="K196" s="3">
        <v>7.25</v>
      </c>
      <c r="L196" s="3">
        <v>0.33</v>
      </c>
      <c r="O196" s="3">
        <v>92.524815262185584</v>
      </c>
      <c r="P196" s="3">
        <v>45</v>
      </c>
      <c r="R196" s="3">
        <v>10</v>
      </c>
      <c r="S196" s="4">
        <v>45058</v>
      </c>
      <c r="T196" s="3" t="s">
        <v>282</v>
      </c>
      <c r="U196" s="3" t="s">
        <v>283</v>
      </c>
      <c r="V196" s="11" t="s">
        <v>84</v>
      </c>
      <c r="W196" s="11">
        <v>7</v>
      </c>
      <c r="X196" s="11" t="s">
        <v>92</v>
      </c>
      <c r="Y196" s="11">
        <v>7</v>
      </c>
      <c r="Z196">
        <v>4</v>
      </c>
      <c r="AA196" t="s">
        <v>91</v>
      </c>
      <c r="AB196" t="s">
        <v>284</v>
      </c>
      <c r="AC196" s="3" t="s">
        <v>78</v>
      </c>
      <c r="AD196" s="3">
        <v>6</v>
      </c>
      <c r="AE196">
        <v>4</v>
      </c>
      <c r="AF196" t="s">
        <v>91</v>
      </c>
      <c r="AG196" t="s">
        <v>650</v>
      </c>
      <c r="AH196" s="17" t="s">
        <v>651</v>
      </c>
      <c r="AI196" t="s">
        <v>698</v>
      </c>
      <c r="AJ196" s="18" t="s">
        <v>699</v>
      </c>
      <c r="AO196" s="10">
        <v>6.1331899999999999</v>
      </c>
      <c r="AP196" s="3">
        <v>37</v>
      </c>
      <c r="AQ196" s="3">
        <f t="shared" si="47"/>
        <v>226.92803000000001</v>
      </c>
      <c r="BE196" s="3" t="s">
        <v>79</v>
      </c>
      <c r="BF196" s="3" t="s">
        <v>80</v>
      </c>
      <c r="BG196" s="3" t="s">
        <v>416</v>
      </c>
      <c r="BH196" s="3">
        <f t="shared" si="46"/>
        <v>3</v>
      </c>
      <c r="BI196" s="3" t="str">
        <f t="shared" si="39"/>
        <v>G4</v>
      </c>
      <c r="BJ196" s="3">
        <v>81</v>
      </c>
      <c r="BK196" s="3" t="str">
        <f t="shared" si="40"/>
        <v>H10</v>
      </c>
      <c r="BL196" s="3">
        <v>1.5</v>
      </c>
      <c r="BM196" s="3">
        <v>1.5</v>
      </c>
      <c r="BN196" s="3">
        <f t="shared" si="41"/>
        <v>6.1331899999999999</v>
      </c>
      <c r="BO196" s="3">
        <f t="shared" si="42"/>
        <v>4.6331899999999999</v>
      </c>
      <c r="BP196" s="3" t="s">
        <v>419</v>
      </c>
      <c r="BQ196">
        <v>10</v>
      </c>
      <c r="BR196" t="s">
        <v>92</v>
      </c>
      <c r="BS196" s="3">
        <v>1</v>
      </c>
      <c r="BT196" s="3" t="s">
        <v>418</v>
      </c>
      <c r="BU196" s="3">
        <v>2</v>
      </c>
      <c r="BV196" s="3" t="str">
        <f t="shared" si="43"/>
        <v>H10</v>
      </c>
      <c r="BW196" s="3">
        <f t="shared" si="44"/>
        <v>4.6331899999999999</v>
      </c>
      <c r="BX196" s="21" t="s">
        <v>417</v>
      </c>
      <c r="BY196" s="3" t="str">
        <f t="shared" si="24"/>
        <v>Och-C_DilutionPlate</v>
      </c>
      <c r="BZ196" s="3" t="str">
        <f t="shared" si="25"/>
        <v>H10</v>
      </c>
      <c r="CA196" s="3" t="str">
        <f t="shared" si="26"/>
        <v>Och-C</v>
      </c>
      <c r="CC196" s="3">
        <v>1.5</v>
      </c>
      <c r="CD196" t="s">
        <v>581</v>
      </c>
      <c r="CE196" s="21" t="str">
        <f t="shared" si="45"/>
        <v>OcC0206804G</v>
      </c>
      <c r="CF196" s="21" t="str">
        <f t="shared" si="27"/>
        <v>Och-CCat_068-Ex1-4G-lcwgs-1-1</v>
      </c>
      <c r="CG196" s="3">
        <f t="shared" si="37"/>
        <v>0.36685639936150682</v>
      </c>
      <c r="CH196">
        <v>964868</v>
      </c>
      <c r="CI196">
        <v>798893</v>
      </c>
      <c r="CJ196" t="s">
        <v>185</v>
      </c>
      <c r="CK196" s="3">
        <v>0</v>
      </c>
      <c r="CL196"/>
      <c r="CM196" s="33"/>
    </row>
    <row r="197" spans="1:96" x14ac:dyDescent="0.55000000000000004">
      <c r="A197" t="s">
        <v>358</v>
      </c>
      <c r="B197" t="s">
        <v>359</v>
      </c>
      <c r="C197" s="3">
        <v>1</v>
      </c>
      <c r="E197" t="s">
        <v>329</v>
      </c>
      <c r="F197">
        <v>11</v>
      </c>
      <c r="G197" t="s">
        <v>84</v>
      </c>
      <c r="H197">
        <v>2.7716143242859173</v>
      </c>
      <c r="I197" s="3" t="s">
        <v>74</v>
      </c>
      <c r="J197" s="3">
        <v>0.1</v>
      </c>
      <c r="K197" s="3">
        <v>7.25</v>
      </c>
      <c r="L197" s="3">
        <v>0.33</v>
      </c>
      <c r="O197" s="3">
        <v>100</v>
      </c>
      <c r="P197" s="3">
        <v>36.080055988945773</v>
      </c>
      <c r="R197" s="3">
        <v>10</v>
      </c>
      <c r="S197" s="4">
        <v>45058</v>
      </c>
      <c r="T197" s="3" t="s">
        <v>282</v>
      </c>
      <c r="U197" s="3" t="s">
        <v>283</v>
      </c>
      <c r="V197" s="11" t="s">
        <v>83</v>
      </c>
      <c r="W197" s="11">
        <v>10</v>
      </c>
      <c r="X197" s="11" t="s">
        <v>91</v>
      </c>
      <c r="Y197" s="11">
        <v>10</v>
      </c>
      <c r="Z197">
        <v>5</v>
      </c>
      <c r="AA197" t="s">
        <v>88</v>
      </c>
      <c r="AB197" t="s">
        <v>284</v>
      </c>
      <c r="AC197" s="3" t="s">
        <v>78</v>
      </c>
      <c r="AD197" s="3">
        <v>6</v>
      </c>
      <c r="AE197">
        <v>5</v>
      </c>
      <c r="AF197" t="s">
        <v>88</v>
      </c>
      <c r="AG197" t="s">
        <v>648</v>
      </c>
      <c r="AH197" s="17" t="s">
        <v>649</v>
      </c>
      <c r="AI197" t="s">
        <v>654</v>
      </c>
      <c r="AJ197" s="18" t="s">
        <v>655</v>
      </c>
      <c r="AO197" s="10">
        <v>4.2295189999999998</v>
      </c>
      <c r="AP197" s="3">
        <v>37</v>
      </c>
      <c r="AQ197" s="3">
        <f t="shared" si="47"/>
        <v>156.49220299999999</v>
      </c>
      <c r="BE197" s="3" t="s">
        <v>79</v>
      </c>
      <c r="BF197" s="3" t="s">
        <v>80</v>
      </c>
      <c r="BG197" s="3" t="s">
        <v>416</v>
      </c>
      <c r="BH197" s="3">
        <f t="shared" si="46"/>
        <v>3</v>
      </c>
      <c r="BI197" s="3" t="str">
        <f t="shared" si="39"/>
        <v>F5</v>
      </c>
      <c r="BJ197" s="3">
        <v>51</v>
      </c>
      <c r="BK197" s="3" t="str">
        <f t="shared" si="40"/>
        <v>B7</v>
      </c>
      <c r="BL197" s="3">
        <v>1.5</v>
      </c>
      <c r="BM197" s="3">
        <v>1.5</v>
      </c>
      <c r="BN197" s="3">
        <f t="shared" si="41"/>
        <v>4.2295189999999998</v>
      </c>
      <c r="BO197" s="3">
        <f t="shared" si="42"/>
        <v>2.7295189999999998</v>
      </c>
      <c r="BP197" s="3" t="s">
        <v>419</v>
      </c>
      <c r="BQ197">
        <v>7</v>
      </c>
      <c r="BR197" t="s">
        <v>76</v>
      </c>
      <c r="BS197" s="3">
        <v>1</v>
      </c>
      <c r="BT197" s="3" t="s">
        <v>418</v>
      </c>
      <c r="BU197" s="3">
        <v>2</v>
      </c>
      <c r="BV197" s="3" t="str">
        <f t="shared" si="43"/>
        <v>B7</v>
      </c>
      <c r="BW197" s="3">
        <f t="shared" si="44"/>
        <v>2.7295189999999998</v>
      </c>
      <c r="BX197" s="21" t="s">
        <v>417</v>
      </c>
      <c r="BY197" s="3" t="str">
        <f t="shared" si="24"/>
        <v>Och-C_DilutionPlate</v>
      </c>
      <c r="BZ197" s="3" t="str">
        <f t="shared" si="25"/>
        <v>B7</v>
      </c>
      <c r="CA197" s="3" t="str">
        <f t="shared" si="26"/>
        <v>Och-C</v>
      </c>
      <c r="CC197" s="3">
        <v>1.5</v>
      </c>
      <c r="CD197" t="s">
        <v>588</v>
      </c>
      <c r="CE197" s="21" t="str">
        <f t="shared" si="45"/>
        <v>OcC0206905F</v>
      </c>
      <c r="CF197" s="21" t="str">
        <f t="shared" si="27"/>
        <v>Och-CCat_069-Ex1-5F-lcwgs-1-1</v>
      </c>
      <c r="CG197" s="3">
        <f t="shared" si="37"/>
        <v>0.53197538538070166</v>
      </c>
      <c r="CH197">
        <v>3930022</v>
      </c>
      <c r="CI197">
        <v>3014585</v>
      </c>
      <c r="CJ197" t="s">
        <v>79</v>
      </c>
      <c r="CK197" s="3">
        <v>10.650606907976497</v>
      </c>
      <c r="CL197" t="s">
        <v>1201</v>
      </c>
      <c r="CM197" s="33" t="s">
        <v>1795</v>
      </c>
      <c r="CN197" s="3" t="str">
        <f>B197&amp;"-"&amp;Z197&amp;AA197&amp;"-lcwgs-"&amp;C197&amp;"-2"</f>
        <v>Och-CCat_069-Ex1-5F-lcwgs-1-2</v>
      </c>
      <c r="CR197"/>
    </row>
    <row r="198" spans="1:96" x14ac:dyDescent="0.55000000000000004">
      <c r="A198" t="s">
        <v>390</v>
      </c>
      <c r="B198" t="s">
        <v>391</v>
      </c>
      <c r="C198" s="3">
        <v>1</v>
      </c>
      <c r="E198" t="s">
        <v>329</v>
      </c>
      <c r="F198">
        <v>12</v>
      </c>
      <c r="G198" t="s">
        <v>84</v>
      </c>
      <c r="H198">
        <v>4.9407844251811852</v>
      </c>
      <c r="I198" s="3" t="s">
        <v>74</v>
      </c>
      <c r="J198" s="3">
        <v>0.1</v>
      </c>
      <c r="K198" s="3">
        <v>7.25</v>
      </c>
      <c r="L198" s="3">
        <v>0.33</v>
      </c>
      <c r="O198" s="3">
        <v>100</v>
      </c>
      <c r="P198" s="3">
        <v>20.239701107042908</v>
      </c>
      <c r="R198" s="3">
        <v>10</v>
      </c>
      <c r="S198" s="4">
        <v>45058</v>
      </c>
      <c r="T198" s="3" t="s">
        <v>282</v>
      </c>
      <c r="U198" s="3" t="s">
        <v>283</v>
      </c>
      <c r="V198" s="11" t="s">
        <v>83</v>
      </c>
      <c r="W198" s="11">
        <v>14</v>
      </c>
      <c r="X198" s="11" t="s">
        <v>91</v>
      </c>
      <c r="Y198" s="11">
        <v>14</v>
      </c>
      <c r="Z198">
        <v>7</v>
      </c>
      <c r="AA198" t="s">
        <v>88</v>
      </c>
      <c r="AB198" t="s">
        <v>284</v>
      </c>
      <c r="AC198" s="3" t="s">
        <v>78</v>
      </c>
      <c r="AD198" s="3">
        <v>6</v>
      </c>
      <c r="AE198">
        <v>7</v>
      </c>
      <c r="AF198" t="s">
        <v>88</v>
      </c>
      <c r="AG198" t="s">
        <v>648</v>
      </c>
      <c r="AH198" s="17" t="s">
        <v>649</v>
      </c>
      <c r="AI198" t="s">
        <v>672</v>
      </c>
      <c r="AJ198" s="18" t="s">
        <v>673</v>
      </c>
      <c r="AO198" s="10">
        <v>2.2145549999999998</v>
      </c>
      <c r="AP198" s="3">
        <v>37</v>
      </c>
      <c r="AQ198" s="3">
        <f t="shared" si="47"/>
        <v>81.938534999999987</v>
      </c>
      <c r="BE198" s="3" t="s">
        <v>79</v>
      </c>
      <c r="BF198" s="3" t="s">
        <v>80</v>
      </c>
      <c r="BG198" s="3" t="s">
        <v>416</v>
      </c>
      <c r="BH198" s="3">
        <f t="shared" si="46"/>
        <v>3</v>
      </c>
      <c r="BI198" s="3" t="str">
        <f t="shared" si="39"/>
        <v>F7</v>
      </c>
      <c r="BJ198" s="3">
        <v>1</v>
      </c>
      <c r="BK198" s="3" t="str">
        <f t="shared" si="40"/>
        <v>B7</v>
      </c>
      <c r="BL198" s="3">
        <v>1.5</v>
      </c>
      <c r="BM198" s="3">
        <v>1.5</v>
      </c>
      <c r="BN198" s="3">
        <f t="shared" si="41"/>
        <v>2.2145549999999998</v>
      </c>
      <c r="BO198" s="3">
        <f t="shared" si="42"/>
        <v>0.71455499999999983</v>
      </c>
      <c r="BP198" s="3" t="s">
        <v>420</v>
      </c>
      <c r="BQ198">
        <v>7</v>
      </c>
      <c r="BR198" t="s">
        <v>76</v>
      </c>
      <c r="BS198" s="3">
        <v>1</v>
      </c>
      <c r="BT198" s="3" t="s">
        <v>418</v>
      </c>
      <c r="BU198" s="3">
        <v>1</v>
      </c>
      <c r="BV198" s="3" t="str">
        <f t="shared" si="43"/>
        <v>B7</v>
      </c>
      <c r="BW198" s="3">
        <f t="shared" si="44"/>
        <v>0.71455499999999983</v>
      </c>
      <c r="BX198" s="21" t="s">
        <v>417</v>
      </c>
      <c r="BY198" s="3" t="str">
        <f t="shared" si="24"/>
        <v>Och-Mixed_Dilution Plate</v>
      </c>
      <c r="BZ198" s="3" t="str">
        <f t="shared" si="25"/>
        <v>B7</v>
      </c>
      <c r="CA198" s="3" t="str">
        <f t="shared" si="26"/>
        <v>Och-C</v>
      </c>
      <c r="CC198" s="3">
        <v>1.5</v>
      </c>
      <c r="CD198" t="s">
        <v>603</v>
      </c>
      <c r="CE198" s="21" t="str">
        <f t="shared" si="45"/>
        <v>OcC0207007F</v>
      </c>
      <c r="CF198" s="21" t="str">
        <f t="shared" si="27"/>
        <v>Och-CCat_070-Ex1-7F-lcwgs-1-1</v>
      </c>
      <c r="CG198" s="3">
        <f t="shared" si="37"/>
        <v>1.0160054728828141</v>
      </c>
      <c r="CH198">
        <v>789077</v>
      </c>
      <c r="CI198">
        <v>641041</v>
      </c>
      <c r="CJ198" t="s">
        <v>185</v>
      </c>
      <c r="CK198" s="3">
        <v>0</v>
      </c>
      <c r="CL198"/>
      <c r="CM198" s="33"/>
    </row>
    <row r="199" spans="1:96" x14ac:dyDescent="0.55000000000000004">
      <c r="A199" t="s">
        <v>410</v>
      </c>
      <c r="B199" t="s">
        <v>411</v>
      </c>
      <c r="C199" s="3">
        <v>1</v>
      </c>
      <c r="E199" t="s">
        <v>329</v>
      </c>
      <c r="F199">
        <v>1</v>
      </c>
      <c r="G199" t="s">
        <v>87</v>
      </c>
      <c r="H199">
        <v>18.043335228080146</v>
      </c>
      <c r="I199" s="3" t="s">
        <v>74</v>
      </c>
      <c r="J199" s="3">
        <v>0.1</v>
      </c>
      <c r="K199" s="3">
        <v>7.25</v>
      </c>
      <c r="L199" s="3">
        <v>0.33</v>
      </c>
      <c r="O199" s="3">
        <v>100</v>
      </c>
      <c r="P199" s="3">
        <v>5.5422126084746166</v>
      </c>
      <c r="R199" s="3">
        <v>10</v>
      </c>
      <c r="S199" s="4">
        <v>45058</v>
      </c>
      <c r="T199" s="3" t="s">
        <v>282</v>
      </c>
      <c r="U199" s="3" t="s">
        <v>283</v>
      </c>
      <c r="V199" s="11" t="s">
        <v>84</v>
      </c>
      <c r="W199" s="11">
        <v>16</v>
      </c>
      <c r="X199" s="11" t="s">
        <v>92</v>
      </c>
      <c r="Y199" s="11">
        <v>16</v>
      </c>
      <c r="Z199">
        <v>8</v>
      </c>
      <c r="AA199" t="s">
        <v>92</v>
      </c>
      <c r="AB199" t="s">
        <v>284</v>
      </c>
      <c r="AC199" s="3" t="s">
        <v>78</v>
      </c>
      <c r="AD199" s="3">
        <v>6</v>
      </c>
      <c r="AE199">
        <v>8</v>
      </c>
      <c r="AF199" t="s">
        <v>92</v>
      </c>
      <c r="AG199" t="s">
        <v>706</v>
      </c>
      <c r="AH199" s="17" t="s">
        <v>707</v>
      </c>
      <c r="AI199" t="s">
        <v>674</v>
      </c>
      <c r="AJ199" s="18" t="s">
        <v>675</v>
      </c>
      <c r="AO199" s="10">
        <v>3.5852110000000001</v>
      </c>
      <c r="AP199" s="3">
        <v>37</v>
      </c>
      <c r="AQ199" s="3">
        <f t="shared" si="47"/>
        <v>132.652807</v>
      </c>
      <c r="BE199" s="3" t="s">
        <v>79</v>
      </c>
      <c r="BF199" s="3" t="s">
        <v>80</v>
      </c>
      <c r="BG199" s="3" t="s">
        <v>416</v>
      </c>
      <c r="BH199" s="3">
        <f t="shared" si="46"/>
        <v>3</v>
      </c>
      <c r="BI199" s="3" t="str">
        <f t="shared" si="39"/>
        <v>H8</v>
      </c>
      <c r="BJ199" s="3">
        <v>25</v>
      </c>
      <c r="BK199" s="3" t="str">
        <f t="shared" si="40"/>
        <v>H3</v>
      </c>
      <c r="BL199" s="3">
        <v>1.5</v>
      </c>
      <c r="BM199" s="3">
        <v>1.5</v>
      </c>
      <c r="BN199" s="3">
        <f t="shared" si="41"/>
        <v>3.5852109999999997</v>
      </c>
      <c r="BO199" s="3">
        <f t="shared" si="42"/>
        <v>2.0852109999999997</v>
      </c>
      <c r="BP199" s="3" t="s">
        <v>419</v>
      </c>
      <c r="BQ199">
        <v>3</v>
      </c>
      <c r="BR199" t="s">
        <v>92</v>
      </c>
      <c r="BS199" s="3">
        <v>1</v>
      </c>
      <c r="BT199" s="3" t="s">
        <v>418</v>
      </c>
      <c r="BU199" s="3">
        <v>2</v>
      </c>
      <c r="BV199" s="3" t="str">
        <f t="shared" si="43"/>
        <v>H3</v>
      </c>
      <c r="BW199" s="3">
        <f t="shared" si="44"/>
        <v>2.0852109999999997</v>
      </c>
      <c r="BX199" s="21" t="s">
        <v>417</v>
      </c>
      <c r="BY199" s="3" t="str">
        <f t="shared" si="24"/>
        <v>Och-C_DilutionPlate</v>
      </c>
      <c r="BZ199" s="3" t="str">
        <f t="shared" si="25"/>
        <v>H3</v>
      </c>
      <c r="CA199" s="3" t="str">
        <f t="shared" si="26"/>
        <v>Och-C</v>
      </c>
      <c r="CC199" s="3">
        <v>1.5</v>
      </c>
      <c r="CD199" t="s">
        <v>613</v>
      </c>
      <c r="CE199" s="21" t="str">
        <f t="shared" si="45"/>
        <v>OcC0207108H</v>
      </c>
      <c r="CF199" s="21" t="str">
        <f t="shared" si="27"/>
        <v>Och-CCat_071-Ex1-8H-lcwgs-1-1</v>
      </c>
      <c r="CG199" s="3">
        <f t="shared" si="37"/>
        <v>0.6275781258062636</v>
      </c>
      <c r="CH199">
        <v>1614937</v>
      </c>
      <c r="CI199">
        <v>1287253</v>
      </c>
      <c r="CJ199" t="s">
        <v>185</v>
      </c>
      <c r="CK199" s="3">
        <v>0</v>
      </c>
      <c r="CL199"/>
      <c r="CM199" s="33"/>
    </row>
    <row r="200" spans="1:96" x14ac:dyDescent="0.55000000000000004">
      <c r="A200" t="s">
        <v>388</v>
      </c>
      <c r="B200" t="s">
        <v>389</v>
      </c>
      <c r="C200" s="3">
        <v>1</v>
      </c>
      <c r="E200" t="s">
        <v>329</v>
      </c>
      <c r="F200">
        <v>2</v>
      </c>
      <c r="G200" t="s">
        <v>87</v>
      </c>
      <c r="H200">
        <v>4.8292276538297569</v>
      </c>
      <c r="I200" s="3" t="s">
        <v>74</v>
      </c>
      <c r="J200" s="3">
        <v>0.1</v>
      </c>
      <c r="K200" s="3">
        <v>7.25</v>
      </c>
      <c r="L200" s="3">
        <v>0.33</v>
      </c>
      <c r="O200" s="3">
        <v>100</v>
      </c>
      <c r="P200" s="3">
        <v>20.707244960940344</v>
      </c>
      <c r="R200" s="3">
        <v>10</v>
      </c>
      <c r="S200" s="4">
        <v>45058</v>
      </c>
      <c r="T200" s="3" t="s">
        <v>282</v>
      </c>
      <c r="U200" s="3" t="s">
        <v>283</v>
      </c>
      <c r="V200" s="11" t="s">
        <v>83</v>
      </c>
      <c r="W200" s="11">
        <v>13</v>
      </c>
      <c r="X200" s="11" t="s">
        <v>91</v>
      </c>
      <c r="Y200" s="11">
        <v>13</v>
      </c>
      <c r="Z200">
        <v>7</v>
      </c>
      <c r="AA200" t="s">
        <v>87</v>
      </c>
      <c r="AB200" t="s">
        <v>284</v>
      </c>
      <c r="AC200" s="3" t="s">
        <v>78</v>
      </c>
      <c r="AD200" s="3">
        <v>6</v>
      </c>
      <c r="AE200">
        <v>7</v>
      </c>
      <c r="AF200" t="s">
        <v>87</v>
      </c>
      <c r="AG200" t="s">
        <v>646</v>
      </c>
      <c r="AH200" s="17" t="s">
        <v>647</v>
      </c>
      <c r="AI200" t="s">
        <v>672</v>
      </c>
      <c r="AJ200" s="18" t="s">
        <v>673</v>
      </c>
      <c r="AO200" s="10">
        <v>4.1827589999999999</v>
      </c>
      <c r="AP200" s="3">
        <v>37</v>
      </c>
      <c r="AQ200" s="3">
        <f t="shared" si="47"/>
        <v>154.76208299999999</v>
      </c>
      <c r="BE200" s="3" t="s">
        <v>79</v>
      </c>
      <c r="BF200" s="3" t="s">
        <v>80</v>
      </c>
      <c r="BG200" s="3" t="s">
        <v>416</v>
      </c>
      <c r="BH200" s="3">
        <f t="shared" si="46"/>
        <v>3</v>
      </c>
      <c r="BI200" s="3" t="str">
        <f t="shared" si="39"/>
        <v>E7</v>
      </c>
      <c r="BJ200" s="3">
        <v>48</v>
      </c>
      <c r="BK200" s="3" t="str">
        <f t="shared" si="40"/>
        <v>G6</v>
      </c>
      <c r="BL200" s="3">
        <v>1.5</v>
      </c>
      <c r="BM200" s="3">
        <v>1.5</v>
      </c>
      <c r="BN200" s="3">
        <f t="shared" si="41"/>
        <v>4.1827589999999999</v>
      </c>
      <c r="BO200" s="3">
        <f t="shared" si="42"/>
        <v>2.6827589999999999</v>
      </c>
      <c r="BP200" s="3" t="s">
        <v>419</v>
      </c>
      <c r="BQ200">
        <v>6</v>
      </c>
      <c r="BR200" t="s">
        <v>91</v>
      </c>
      <c r="BS200" s="3">
        <v>1</v>
      </c>
      <c r="BT200" s="3" t="s">
        <v>418</v>
      </c>
      <c r="BU200" s="3">
        <v>2</v>
      </c>
      <c r="BV200" s="3" t="str">
        <f t="shared" si="43"/>
        <v>G6</v>
      </c>
      <c r="BW200" s="3">
        <f t="shared" si="44"/>
        <v>2.6827589999999999</v>
      </c>
      <c r="BX200" s="21" t="s">
        <v>417</v>
      </c>
      <c r="BY200" s="3" t="str">
        <f t="shared" si="24"/>
        <v>Och-C_DilutionPlate</v>
      </c>
      <c r="BZ200" s="3" t="str">
        <f t="shared" si="25"/>
        <v>G6</v>
      </c>
      <c r="CA200" s="3" t="str">
        <f t="shared" si="26"/>
        <v>Och-C</v>
      </c>
      <c r="CC200" s="3">
        <v>1.5</v>
      </c>
      <c r="CD200" t="s">
        <v>602</v>
      </c>
      <c r="CE200" s="21" t="str">
        <f t="shared" si="45"/>
        <v>OcC0207207E</v>
      </c>
      <c r="CF200" s="21" t="str">
        <f t="shared" si="27"/>
        <v>Och-CCat_072-Ex1-7E-lcwgs-1-1</v>
      </c>
      <c r="CG200" s="3">
        <f t="shared" si="37"/>
        <v>0.53792245740192057</v>
      </c>
      <c r="CH200">
        <v>2310503</v>
      </c>
      <c r="CI200">
        <v>1872707</v>
      </c>
      <c r="CJ200" t="s">
        <v>79</v>
      </c>
      <c r="CK200" s="3">
        <v>17.873622020424943</v>
      </c>
      <c r="CL200" t="s">
        <v>1201</v>
      </c>
      <c r="CM200" s="33" t="s">
        <v>1796</v>
      </c>
      <c r="CN200" s="3" t="str">
        <f>B200&amp;"-"&amp;Z200&amp;AA200&amp;"-lcwgs-"&amp;C200&amp;"-2"</f>
        <v>Och-CCat_072-Ex1-7E-lcwgs-1-2</v>
      </c>
      <c r="CR200"/>
    </row>
    <row r="201" spans="1:96" x14ac:dyDescent="0.55000000000000004">
      <c r="A201" t="s">
        <v>372</v>
      </c>
      <c r="B201" t="s">
        <v>373</v>
      </c>
      <c r="C201" s="3">
        <v>1</v>
      </c>
      <c r="E201" t="s">
        <v>329</v>
      </c>
      <c r="F201">
        <v>4</v>
      </c>
      <c r="G201" t="s">
        <v>87</v>
      </c>
      <c r="H201">
        <v>3.1448877362512433</v>
      </c>
      <c r="I201" s="3" t="s">
        <v>74</v>
      </c>
      <c r="J201" s="3">
        <v>0.1</v>
      </c>
      <c r="K201" s="3">
        <v>7.25</v>
      </c>
      <c r="L201" s="3">
        <v>0.33</v>
      </c>
      <c r="O201" s="3">
        <v>100</v>
      </c>
      <c r="P201" s="3">
        <v>31.797637431472072</v>
      </c>
      <c r="R201" s="3">
        <v>10</v>
      </c>
      <c r="S201" s="4">
        <v>45058</v>
      </c>
      <c r="T201" s="3" t="s">
        <v>282</v>
      </c>
      <c r="U201" s="3" t="s">
        <v>283</v>
      </c>
      <c r="V201" s="11" t="s">
        <v>83</v>
      </c>
      <c r="W201" s="11">
        <v>11</v>
      </c>
      <c r="X201" s="11" t="s">
        <v>91</v>
      </c>
      <c r="Y201" s="11">
        <v>11</v>
      </c>
      <c r="Z201">
        <v>6</v>
      </c>
      <c r="AA201" t="s">
        <v>87</v>
      </c>
      <c r="AB201" t="s">
        <v>284</v>
      </c>
      <c r="AC201" s="3" t="s">
        <v>78</v>
      </c>
      <c r="AD201" s="3">
        <v>6</v>
      </c>
      <c r="AE201">
        <v>6</v>
      </c>
      <c r="AF201" t="s">
        <v>87</v>
      </c>
      <c r="AG201" t="s">
        <v>646</v>
      </c>
      <c r="AH201" s="17" t="s">
        <v>647</v>
      </c>
      <c r="AI201" t="s">
        <v>670</v>
      </c>
      <c r="AJ201" s="18" t="s">
        <v>671</v>
      </c>
      <c r="AO201" s="10">
        <v>3.4543740000000001</v>
      </c>
      <c r="AP201" s="3">
        <v>37</v>
      </c>
      <c r="AQ201" s="3">
        <f t="shared" si="47"/>
        <v>127.81183800000001</v>
      </c>
      <c r="BE201" s="3" t="s">
        <v>79</v>
      </c>
      <c r="BF201" s="3" t="s">
        <v>80</v>
      </c>
      <c r="BG201" s="3" t="s">
        <v>416</v>
      </c>
      <c r="BH201" s="3">
        <f t="shared" si="46"/>
        <v>3</v>
      </c>
      <c r="BI201" s="3" t="str">
        <f t="shared" si="39"/>
        <v>E6</v>
      </c>
      <c r="BJ201" s="3">
        <v>22</v>
      </c>
      <c r="BK201" s="3" t="str">
        <f t="shared" si="40"/>
        <v>E3</v>
      </c>
      <c r="BL201" s="3">
        <v>1.5</v>
      </c>
      <c r="BM201" s="3">
        <v>1.5</v>
      </c>
      <c r="BN201" s="3">
        <f t="shared" si="41"/>
        <v>3.4543740000000001</v>
      </c>
      <c r="BO201" s="3">
        <f t="shared" si="42"/>
        <v>1.9543740000000001</v>
      </c>
      <c r="BP201" s="3" t="s">
        <v>419</v>
      </c>
      <c r="BQ201">
        <v>3</v>
      </c>
      <c r="BR201" t="s">
        <v>87</v>
      </c>
      <c r="BS201" s="3">
        <v>1</v>
      </c>
      <c r="BT201" s="3" t="s">
        <v>418</v>
      </c>
      <c r="BU201" s="3">
        <v>2</v>
      </c>
      <c r="BV201" s="3" t="str">
        <f t="shared" si="43"/>
        <v>E3</v>
      </c>
      <c r="BW201" s="3">
        <f t="shared" si="44"/>
        <v>1.9543740000000001</v>
      </c>
      <c r="BX201" s="21" t="s">
        <v>417</v>
      </c>
      <c r="BY201" s="3" t="str">
        <f t="shared" si="24"/>
        <v>Och-C_DilutionPlate</v>
      </c>
      <c r="BZ201" s="3" t="str">
        <f t="shared" si="25"/>
        <v>E3</v>
      </c>
      <c r="CA201" s="3" t="str">
        <f t="shared" si="26"/>
        <v>Och-C</v>
      </c>
      <c r="CC201" s="3">
        <v>1.5</v>
      </c>
      <c r="CD201" t="s">
        <v>594</v>
      </c>
      <c r="CE201" s="21" t="str">
        <f t="shared" si="45"/>
        <v>OcC0207406E</v>
      </c>
      <c r="CF201" s="21" t="str">
        <f t="shared" si="27"/>
        <v>Och-CCat_074-Ex1-6E-lcwgs-1-1</v>
      </c>
      <c r="CG201" s="3">
        <f t="shared" si="37"/>
        <v>0.65134811690917083</v>
      </c>
      <c r="CH201">
        <v>3239905</v>
      </c>
      <c r="CI201">
        <v>2625140</v>
      </c>
      <c r="CJ201" t="s">
        <v>79</v>
      </c>
      <c r="CK201" s="3">
        <v>15.133397548025913</v>
      </c>
      <c r="CL201" t="s">
        <v>1201</v>
      </c>
      <c r="CM201" s="33" t="s">
        <v>1797</v>
      </c>
      <c r="CN201" s="3" t="str">
        <f>B201&amp;"-"&amp;Z201&amp;AA201&amp;"-lcwgs-"&amp;C201&amp;"-2"</f>
        <v>Och-CCat_074-Ex1-6E-lcwgs-1-2</v>
      </c>
      <c r="CR201"/>
    </row>
    <row r="202" spans="1:96" x14ac:dyDescent="0.55000000000000004">
      <c r="A202" t="s">
        <v>350</v>
      </c>
      <c r="B202" t="s">
        <v>351</v>
      </c>
      <c r="C202" s="3">
        <v>1</v>
      </c>
      <c r="E202" t="s">
        <v>329</v>
      </c>
      <c r="F202">
        <v>5</v>
      </c>
      <c r="G202" t="s">
        <v>87</v>
      </c>
      <c r="H202">
        <v>2.2603595282080429</v>
      </c>
      <c r="I202" s="3" t="s">
        <v>74</v>
      </c>
      <c r="J202" s="3">
        <v>0.1</v>
      </c>
      <c r="K202" s="3">
        <v>7.25</v>
      </c>
      <c r="L202" s="3">
        <v>0.33</v>
      </c>
      <c r="O202" s="3">
        <v>100</v>
      </c>
      <c r="P202" s="3">
        <v>44.240749647149066</v>
      </c>
      <c r="R202" s="3">
        <v>10</v>
      </c>
      <c r="S202" s="4">
        <v>45058</v>
      </c>
      <c r="T202" s="3" t="s">
        <v>282</v>
      </c>
      <c r="U202" s="3" t="s">
        <v>283</v>
      </c>
      <c r="V202" s="11" t="s">
        <v>73</v>
      </c>
      <c r="W202" s="11">
        <v>10</v>
      </c>
      <c r="X202" s="11" t="s">
        <v>87</v>
      </c>
      <c r="Y202" s="11">
        <v>10</v>
      </c>
      <c r="Z202">
        <v>5</v>
      </c>
      <c r="AA202" t="s">
        <v>76</v>
      </c>
      <c r="AB202" t="s">
        <v>284</v>
      </c>
      <c r="AC202" s="3" t="s">
        <v>78</v>
      </c>
      <c r="AD202" s="3">
        <v>6</v>
      </c>
      <c r="AE202">
        <v>5</v>
      </c>
      <c r="AF202" t="s">
        <v>76</v>
      </c>
      <c r="AG202" t="s">
        <v>640</v>
      </c>
      <c r="AH202" s="17" t="s">
        <v>641</v>
      </c>
      <c r="AI202" t="s">
        <v>654</v>
      </c>
      <c r="AJ202" s="18" t="s">
        <v>655</v>
      </c>
      <c r="AO202" s="10">
        <v>7.3968790000000002</v>
      </c>
      <c r="AP202" s="3">
        <v>37</v>
      </c>
      <c r="AQ202" s="3">
        <f t="shared" si="47"/>
        <v>273.68452300000001</v>
      </c>
      <c r="BE202" s="3" t="s">
        <v>79</v>
      </c>
      <c r="BF202" s="3" t="s">
        <v>80</v>
      </c>
      <c r="BG202" s="3" t="s">
        <v>416</v>
      </c>
      <c r="BH202" s="3">
        <f t="shared" si="46"/>
        <v>3</v>
      </c>
      <c r="BI202" s="3" t="str">
        <f t="shared" si="39"/>
        <v>B5</v>
      </c>
      <c r="BJ202" s="3">
        <v>92</v>
      </c>
      <c r="BK202" s="3" t="str">
        <f t="shared" si="40"/>
        <v>C12</v>
      </c>
      <c r="BL202" s="3">
        <v>1.5</v>
      </c>
      <c r="BM202" s="3">
        <v>1.5</v>
      </c>
      <c r="BN202" s="3">
        <f t="shared" si="41"/>
        <v>7.3968790000000011</v>
      </c>
      <c r="BO202" s="3">
        <f t="shared" si="42"/>
        <v>5.8968790000000011</v>
      </c>
      <c r="BP202" s="3" t="s">
        <v>419</v>
      </c>
      <c r="BQ202">
        <v>12</v>
      </c>
      <c r="BR202" t="s">
        <v>83</v>
      </c>
      <c r="BS202" s="3">
        <v>1</v>
      </c>
      <c r="BT202" s="3" t="s">
        <v>418</v>
      </c>
      <c r="BU202" s="3">
        <v>2</v>
      </c>
      <c r="BV202" s="3" t="str">
        <f t="shared" si="43"/>
        <v>C12</v>
      </c>
      <c r="BW202" s="3">
        <f t="shared" si="44"/>
        <v>5.8968790000000011</v>
      </c>
      <c r="BX202" s="21" t="s">
        <v>417</v>
      </c>
      <c r="BY202" s="3" t="str">
        <f t="shared" ref="BY202:BY265" si="48">IF(ISNUMBER(BM202),BP202,AB202)</f>
        <v>Och-C_DilutionPlate</v>
      </c>
      <c r="BZ202" s="3" t="str">
        <f t="shared" ref="BZ202:BZ265" si="49">IF(ISNUMBER(BM202),BR202&amp;BQ202,AA202&amp;AE202)</f>
        <v>C12</v>
      </c>
      <c r="CA202" s="3" t="str">
        <f t="shared" ref="CA202:CA265" si="50">BF202</f>
        <v>Och-C</v>
      </c>
      <c r="CC202" s="3">
        <v>1.5</v>
      </c>
      <c r="CD202" t="s">
        <v>584</v>
      </c>
      <c r="CE202" s="21" t="str">
        <f t="shared" si="45"/>
        <v>OcC0207505B</v>
      </c>
      <c r="CF202" s="21" t="str">
        <f t="shared" ref="CF202:CF265" si="51">B202&amp;"-"&amp;Z202&amp;AA202&amp;"-lcwgs-"&amp;C202&amp;"-1"</f>
        <v>Och-CCat_075-Ex1-5B-lcwgs-1-1</v>
      </c>
      <c r="CG202" s="3">
        <f t="shared" ref="CG202:CG233" si="52">IF(ISNUMBER(BL202),(CC202/BN202)*BL202,CC202)</f>
        <v>0.30418234501334951</v>
      </c>
      <c r="CH202">
        <v>4594464</v>
      </c>
      <c r="CI202">
        <v>3724335</v>
      </c>
      <c r="CJ202" t="s">
        <v>79</v>
      </c>
      <c r="CK202" s="3">
        <v>4.8344810458767977</v>
      </c>
      <c r="CL202" t="s">
        <v>1201</v>
      </c>
      <c r="CM202" s="33" t="s">
        <v>1798</v>
      </c>
      <c r="CN202" s="3" t="str">
        <f>B202&amp;"-"&amp;Z202&amp;AA202&amp;"-lcwgs-"&amp;C202&amp;"-2"</f>
        <v>Och-CCat_075-Ex1-5B-lcwgs-1-2</v>
      </c>
      <c r="CR202"/>
    </row>
    <row r="203" spans="1:96" x14ac:dyDescent="0.55000000000000004">
      <c r="A203" t="s">
        <v>362</v>
      </c>
      <c r="B203" t="s">
        <v>363</v>
      </c>
      <c r="C203" s="3">
        <v>1</v>
      </c>
      <c r="E203" t="s">
        <v>329</v>
      </c>
      <c r="F203">
        <v>6</v>
      </c>
      <c r="G203" t="s">
        <v>87</v>
      </c>
      <c r="H203">
        <v>2.9757140827056983</v>
      </c>
      <c r="I203" s="3" t="s">
        <v>74</v>
      </c>
      <c r="J203" s="3">
        <v>0.1</v>
      </c>
      <c r="K203" s="3">
        <v>7.25</v>
      </c>
      <c r="L203" s="3">
        <v>0.33</v>
      </c>
      <c r="O203" s="3">
        <v>100</v>
      </c>
      <c r="P203" s="3">
        <v>33.605379152917131</v>
      </c>
      <c r="R203" s="3">
        <v>10</v>
      </c>
      <c r="S203" s="4">
        <v>45058</v>
      </c>
      <c r="T203" s="3" t="s">
        <v>282</v>
      </c>
      <c r="U203" s="3" t="s">
        <v>283</v>
      </c>
      <c r="V203" s="11" t="s">
        <v>84</v>
      </c>
      <c r="W203" s="11">
        <v>10</v>
      </c>
      <c r="X203" s="11" t="s">
        <v>92</v>
      </c>
      <c r="Y203" s="11">
        <v>10</v>
      </c>
      <c r="Z203">
        <v>5</v>
      </c>
      <c r="AA203" t="s">
        <v>92</v>
      </c>
      <c r="AB203" t="s">
        <v>284</v>
      </c>
      <c r="AC203" s="3" t="s">
        <v>78</v>
      </c>
      <c r="AD203" s="3">
        <v>6</v>
      </c>
      <c r="AE203">
        <v>5</v>
      </c>
      <c r="AF203" t="s">
        <v>92</v>
      </c>
      <c r="AG203" t="s">
        <v>706</v>
      </c>
      <c r="AH203" s="17" t="s">
        <v>707</v>
      </c>
      <c r="AI203" t="s">
        <v>654</v>
      </c>
      <c r="AJ203" s="18" t="s">
        <v>655</v>
      </c>
      <c r="AO203" s="10">
        <v>4.4336370000000001</v>
      </c>
      <c r="AP203" s="3">
        <v>37</v>
      </c>
      <c r="AQ203" s="3">
        <f t="shared" si="47"/>
        <v>164.044569</v>
      </c>
      <c r="BE203" s="3" t="s">
        <v>79</v>
      </c>
      <c r="BF203" s="3" t="s">
        <v>80</v>
      </c>
      <c r="BG203" s="3" t="s">
        <v>416</v>
      </c>
      <c r="BH203" s="3">
        <f t="shared" si="46"/>
        <v>3</v>
      </c>
      <c r="BI203" s="3" t="str">
        <f t="shared" si="39"/>
        <v>H5</v>
      </c>
      <c r="BJ203" s="3">
        <v>56</v>
      </c>
      <c r="BK203" s="3" t="str">
        <f t="shared" si="40"/>
        <v>G7</v>
      </c>
      <c r="BL203" s="3">
        <v>1.5</v>
      </c>
      <c r="BM203" s="3">
        <v>1.5</v>
      </c>
      <c r="BN203" s="3">
        <f t="shared" si="41"/>
        <v>4.4336370000000001</v>
      </c>
      <c r="BO203" s="3">
        <f t="shared" si="42"/>
        <v>2.9336370000000001</v>
      </c>
      <c r="BP203" s="3" t="s">
        <v>419</v>
      </c>
      <c r="BQ203">
        <v>7</v>
      </c>
      <c r="BR203" t="s">
        <v>91</v>
      </c>
      <c r="BS203" s="3">
        <v>1</v>
      </c>
      <c r="BT203" s="3" t="s">
        <v>418</v>
      </c>
      <c r="BU203" s="3">
        <v>2</v>
      </c>
      <c r="BV203" s="3" t="str">
        <f t="shared" si="43"/>
        <v>G7</v>
      </c>
      <c r="BW203" s="3">
        <f t="shared" si="44"/>
        <v>2.9336370000000001</v>
      </c>
      <c r="BX203" s="21" t="s">
        <v>417</v>
      </c>
      <c r="BY203" s="3" t="str">
        <f t="shared" si="48"/>
        <v>Och-C_DilutionPlate</v>
      </c>
      <c r="BZ203" s="3" t="str">
        <f t="shared" si="49"/>
        <v>G7</v>
      </c>
      <c r="CA203" s="3" t="str">
        <f t="shared" si="50"/>
        <v>Och-C</v>
      </c>
      <c r="CC203" s="3">
        <v>1.5</v>
      </c>
      <c r="CD203" t="s">
        <v>590</v>
      </c>
      <c r="CE203" s="21" t="str">
        <f t="shared" si="45"/>
        <v>OcC0207605H</v>
      </c>
      <c r="CF203" s="21" t="str">
        <f t="shared" si="51"/>
        <v>Och-CCat_076-Ex1-5H-lcwgs-1-1</v>
      </c>
      <c r="CG203" s="3">
        <f t="shared" si="52"/>
        <v>0.50748403624383331</v>
      </c>
      <c r="CH203">
        <v>1504562</v>
      </c>
      <c r="CI203">
        <v>1203692</v>
      </c>
      <c r="CJ203" t="s">
        <v>185</v>
      </c>
      <c r="CK203" s="3">
        <v>0</v>
      </c>
      <c r="CL203"/>
      <c r="CM203" s="33"/>
    </row>
    <row r="204" spans="1:96" x14ac:dyDescent="0.55000000000000004">
      <c r="A204" t="s">
        <v>348</v>
      </c>
      <c r="B204" t="s">
        <v>349</v>
      </c>
      <c r="C204" s="3">
        <v>1</v>
      </c>
      <c r="E204" t="s">
        <v>329</v>
      </c>
      <c r="F204">
        <v>7</v>
      </c>
      <c r="G204" t="s">
        <v>87</v>
      </c>
      <c r="H204">
        <v>2.1579934631234901</v>
      </c>
      <c r="I204" s="3" t="s">
        <v>74</v>
      </c>
      <c r="J204" s="3">
        <v>0.1</v>
      </c>
      <c r="K204" s="3">
        <v>7.25</v>
      </c>
      <c r="L204" s="3">
        <v>0.33</v>
      </c>
      <c r="O204" s="3">
        <v>97.109705840557055</v>
      </c>
      <c r="P204" s="3">
        <v>45</v>
      </c>
      <c r="R204" s="3">
        <v>10</v>
      </c>
      <c r="S204" s="4">
        <v>45058</v>
      </c>
      <c r="T204" s="3" t="s">
        <v>282</v>
      </c>
      <c r="U204" s="3" t="s">
        <v>283</v>
      </c>
      <c r="V204" s="11" t="s">
        <v>73</v>
      </c>
      <c r="W204" s="11">
        <v>9</v>
      </c>
      <c r="X204" s="11" t="s">
        <v>87</v>
      </c>
      <c r="Y204" s="11">
        <v>9</v>
      </c>
      <c r="Z204">
        <v>5</v>
      </c>
      <c r="AA204" t="s">
        <v>73</v>
      </c>
      <c r="AB204" t="s">
        <v>284</v>
      </c>
      <c r="AC204" s="3" t="s">
        <v>78</v>
      </c>
      <c r="AD204" s="3">
        <v>6</v>
      </c>
      <c r="AE204">
        <v>5</v>
      </c>
      <c r="AF204" t="s">
        <v>73</v>
      </c>
      <c r="AG204" t="s">
        <v>614</v>
      </c>
      <c r="AH204" s="17" t="s">
        <v>615</v>
      </c>
      <c r="AI204" t="s">
        <v>654</v>
      </c>
      <c r="AJ204" s="18" t="s">
        <v>655</v>
      </c>
      <c r="AO204" s="10">
        <v>7.3313519999999999</v>
      </c>
      <c r="AP204" s="3">
        <v>37</v>
      </c>
      <c r="AQ204" s="3">
        <f t="shared" si="47"/>
        <v>271.26002399999999</v>
      </c>
      <c r="BE204" s="3" t="s">
        <v>79</v>
      </c>
      <c r="BF204" s="3" t="s">
        <v>80</v>
      </c>
      <c r="BG204" s="3" t="s">
        <v>416</v>
      </c>
      <c r="BH204" s="3">
        <f t="shared" si="46"/>
        <v>3</v>
      </c>
      <c r="BI204" s="3" t="str">
        <f t="shared" si="39"/>
        <v>A5</v>
      </c>
      <c r="BJ204" s="3">
        <v>91</v>
      </c>
      <c r="BK204" s="3" t="str">
        <f t="shared" si="40"/>
        <v>B12</v>
      </c>
      <c r="BL204" s="3">
        <v>1.5</v>
      </c>
      <c r="BM204" s="3">
        <v>1.5</v>
      </c>
      <c r="BN204" s="3">
        <f t="shared" si="41"/>
        <v>7.3313519999999999</v>
      </c>
      <c r="BO204" s="3">
        <f t="shared" si="42"/>
        <v>5.8313519999999999</v>
      </c>
      <c r="BP204" s="3" t="s">
        <v>419</v>
      </c>
      <c r="BQ204">
        <v>12</v>
      </c>
      <c r="BR204" t="s">
        <v>76</v>
      </c>
      <c r="BS204" s="3">
        <v>1</v>
      </c>
      <c r="BT204" s="3" t="s">
        <v>418</v>
      </c>
      <c r="BU204" s="3">
        <v>2</v>
      </c>
      <c r="BV204" s="3" t="str">
        <f t="shared" si="43"/>
        <v>B12</v>
      </c>
      <c r="BW204" s="3">
        <f t="shared" si="44"/>
        <v>5.8313519999999999</v>
      </c>
      <c r="BX204" s="21" t="s">
        <v>417</v>
      </c>
      <c r="BY204" s="3" t="str">
        <f t="shared" si="48"/>
        <v>Och-C_DilutionPlate</v>
      </c>
      <c r="BZ204" s="3" t="str">
        <f t="shared" si="49"/>
        <v>B12</v>
      </c>
      <c r="CA204" s="3" t="str">
        <f t="shared" si="50"/>
        <v>Och-C</v>
      </c>
      <c r="CC204" s="3">
        <v>1.5</v>
      </c>
      <c r="CD204" t="s">
        <v>583</v>
      </c>
      <c r="CE204" s="21" t="str">
        <f t="shared" si="45"/>
        <v>OcC0207705A</v>
      </c>
      <c r="CF204" s="21" t="str">
        <f t="shared" si="51"/>
        <v>Och-CCat_077-Ex1-5A-lcwgs-1-1</v>
      </c>
      <c r="CG204" s="3">
        <f t="shared" si="52"/>
        <v>0.30690110091562922</v>
      </c>
      <c r="CH204">
        <v>6769820</v>
      </c>
      <c r="CI204">
        <v>5456109</v>
      </c>
      <c r="CJ204" t="s">
        <v>79</v>
      </c>
      <c r="CK204" s="3">
        <v>3.1699748523106761</v>
      </c>
      <c r="CL204" t="s">
        <v>1201</v>
      </c>
      <c r="CM204" s="33" t="s">
        <v>1799</v>
      </c>
      <c r="CN204" s="3" t="str">
        <f>B204&amp;"-"&amp;Z204&amp;AA204&amp;"-lcwgs-"&amp;C204&amp;"-2"</f>
        <v>Och-CCat_077-Ex1-5A-lcwgs-1-2</v>
      </c>
      <c r="CR204"/>
    </row>
    <row r="205" spans="1:96" x14ac:dyDescent="0.55000000000000004">
      <c r="A205" t="s">
        <v>396</v>
      </c>
      <c r="B205" t="s">
        <v>397</v>
      </c>
      <c r="C205" s="3">
        <v>1</v>
      </c>
      <c r="E205" t="s">
        <v>329</v>
      </c>
      <c r="F205">
        <v>9</v>
      </c>
      <c r="G205" t="s">
        <v>87</v>
      </c>
      <c r="H205">
        <v>5.7294905499502624</v>
      </c>
      <c r="I205" s="3" t="s">
        <v>74</v>
      </c>
      <c r="J205" s="3">
        <v>0.1</v>
      </c>
      <c r="K205" s="3">
        <v>7.25</v>
      </c>
      <c r="L205" s="3">
        <v>0.33</v>
      </c>
      <c r="O205" s="3">
        <v>100</v>
      </c>
      <c r="P205" s="3">
        <v>17.453558763766196</v>
      </c>
      <c r="R205" s="3">
        <v>10</v>
      </c>
      <c r="S205" s="4">
        <v>45058</v>
      </c>
      <c r="T205" s="3" t="s">
        <v>282</v>
      </c>
      <c r="U205" s="3" t="s">
        <v>283</v>
      </c>
      <c r="V205" s="11" t="s">
        <v>73</v>
      </c>
      <c r="W205" s="11">
        <v>15</v>
      </c>
      <c r="X205" s="11" t="s">
        <v>87</v>
      </c>
      <c r="Y205" s="11">
        <v>15</v>
      </c>
      <c r="Z205">
        <v>8</v>
      </c>
      <c r="AA205" t="s">
        <v>73</v>
      </c>
      <c r="AB205" t="s">
        <v>284</v>
      </c>
      <c r="AC205" s="3" t="s">
        <v>78</v>
      </c>
      <c r="AD205" s="3">
        <v>6</v>
      </c>
      <c r="AE205">
        <v>8</v>
      </c>
      <c r="AF205" t="s">
        <v>73</v>
      </c>
      <c r="AG205" t="s">
        <v>614</v>
      </c>
      <c r="AH205" s="17" t="s">
        <v>615</v>
      </c>
      <c r="AI205" t="s">
        <v>674</v>
      </c>
      <c r="AJ205" s="18" t="s">
        <v>675</v>
      </c>
      <c r="AO205" s="10">
        <v>5.0855600000000001</v>
      </c>
      <c r="AP205" s="3">
        <v>37</v>
      </c>
      <c r="AQ205" s="3">
        <f t="shared" si="47"/>
        <v>188.16571999999999</v>
      </c>
      <c r="BE205" s="3" t="s">
        <v>79</v>
      </c>
      <c r="BF205" s="3" t="s">
        <v>80</v>
      </c>
      <c r="BG205" s="3" t="s">
        <v>416</v>
      </c>
      <c r="BH205" s="3">
        <f t="shared" si="46"/>
        <v>3</v>
      </c>
      <c r="BI205" s="3" t="str">
        <f t="shared" si="39"/>
        <v>A8</v>
      </c>
      <c r="BJ205" s="3">
        <v>66</v>
      </c>
      <c r="BK205" s="3" t="str">
        <f t="shared" si="40"/>
        <v>A9</v>
      </c>
      <c r="BL205" s="3">
        <v>1.5</v>
      </c>
      <c r="BM205" s="3">
        <v>1.5</v>
      </c>
      <c r="BN205" s="3">
        <f t="shared" si="41"/>
        <v>5.0855600000000001</v>
      </c>
      <c r="BO205" s="3">
        <f t="shared" si="42"/>
        <v>3.5855600000000001</v>
      </c>
      <c r="BP205" s="3" t="s">
        <v>419</v>
      </c>
      <c r="BQ205">
        <v>9</v>
      </c>
      <c r="BR205" t="s">
        <v>73</v>
      </c>
      <c r="BS205" s="3">
        <v>1</v>
      </c>
      <c r="BT205" s="3" t="s">
        <v>418</v>
      </c>
      <c r="BU205" s="3">
        <v>2</v>
      </c>
      <c r="BV205" s="3" t="str">
        <f t="shared" si="43"/>
        <v>A9</v>
      </c>
      <c r="BW205" s="3">
        <f t="shared" si="44"/>
        <v>3.5855600000000001</v>
      </c>
      <c r="BX205" s="21" t="s">
        <v>417</v>
      </c>
      <c r="BY205" s="3" t="str">
        <f t="shared" si="48"/>
        <v>Och-C_DilutionPlate</v>
      </c>
      <c r="BZ205" s="3" t="str">
        <f t="shared" si="49"/>
        <v>A9</v>
      </c>
      <c r="CA205" s="3" t="str">
        <f t="shared" si="50"/>
        <v>Och-C</v>
      </c>
      <c r="CC205" s="3">
        <v>1.5</v>
      </c>
      <c r="CD205" t="s">
        <v>606</v>
      </c>
      <c r="CE205" s="21" t="str">
        <f t="shared" si="45"/>
        <v>OcC0207908A</v>
      </c>
      <c r="CF205" s="21" t="str">
        <f t="shared" si="51"/>
        <v>Och-CCat_079-Ex1-8A-lcwgs-1-1</v>
      </c>
      <c r="CG205" s="3">
        <f t="shared" si="52"/>
        <v>0.44242915234507108</v>
      </c>
      <c r="CH205">
        <v>4223237</v>
      </c>
      <c r="CI205">
        <v>3385490</v>
      </c>
      <c r="CJ205" t="s">
        <v>79</v>
      </c>
      <c r="CK205" s="3">
        <v>7.8079930505456794</v>
      </c>
      <c r="CL205" t="s">
        <v>1201</v>
      </c>
      <c r="CM205" s="33" t="s">
        <v>1800</v>
      </c>
      <c r="CN205" s="3" t="str">
        <f>B205&amp;"-"&amp;Z205&amp;AA205&amp;"-lcwgs-"&amp;C205&amp;"-2"</f>
        <v>Och-CCat_079-Ex1-8A-lcwgs-1-2</v>
      </c>
      <c r="CR205"/>
    </row>
    <row r="206" spans="1:96" x14ac:dyDescent="0.55000000000000004">
      <c r="A206" t="s">
        <v>384</v>
      </c>
      <c r="B206" t="s">
        <v>385</v>
      </c>
      <c r="C206" s="3">
        <v>1</v>
      </c>
      <c r="E206" t="s">
        <v>329</v>
      </c>
      <c r="F206">
        <v>10</v>
      </c>
      <c r="G206" t="s">
        <v>87</v>
      </c>
      <c r="H206">
        <v>4.1564302970015632</v>
      </c>
      <c r="I206" s="3" t="s">
        <v>74</v>
      </c>
      <c r="J206" s="3">
        <v>0.1</v>
      </c>
      <c r="K206" s="3">
        <v>7.25</v>
      </c>
      <c r="L206" s="3">
        <v>0.33</v>
      </c>
      <c r="O206" s="3">
        <v>100</v>
      </c>
      <c r="P206" s="3">
        <v>24.059106698394462</v>
      </c>
      <c r="R206" s="3">
        <v>10</v>
      </c>
      <c r="S206" s="4">
        <v>45058</v>
      </c>
      <c r="T206" s="3" t="s">
        <v>282</v>
      </c>
      <c r="U206" s="3" t="s">
        <v>283</v>
      </c>
      <c r="V206" s="11" t="s">
        <v>76</v>
      </c>
      <c r="W206" s="11">
        <v>13</v>
      </c>
      <c r="X206" s="11" t="s">
        <v>88</v>
      </c>
      <c r="Y206" s="11">
        <v>13</v>
      </c>
      <c r="Z206">
        <v>7</v>
      </c>
      <c r="AA206" t="s">
        <v>83</v>
      </c>
      <c r="AB206" t="s">
        <v>284</v>
      </c>
      <c r="AC206" s="3" t="s">
        <v>78</v>
      </c>
      <c r="AD206" s="3">
        <v>6</v>
      </c>
      <c r="AE206">
        <v>7</v>
      </c>
      <c r="AF206" t="s">
        <v>83</v>
      </c>
      <c r="AG206" t="s">
        <v>642</v>
      </c>
      <c r="AH206" s="17" t="s">
        <v>643</v>
      </c>
      <c r="AI206" t="s">
        <v>672</v>
      </c>
      <c r="AJ206" s="18" t="s">
        <v>673</v>
      </c>
      <c r="AO206" s="10">
        <v>2.3167589999999998</v>
      </c>
      <c r="AP206" s="3">
        <v>37</v>
      </c>
      <c r="AQ206" s="3">
        <f t="shared" si="47"/>
        <v>85.720082999999988</v>
      </c>
      <c r="BE206" s="3" t="s">
        <v>79</v>
      </c>
      <c r="BF206" s="3" t="s">
        <v>80</v>
      </c>
      <c r="BG206" s="3" t="s">
        <v>416</v>
      </c>
      <c r="BH206" s="3">
        <f t="shared" si="46"/>
        <v>3</v>
      </c>
      <c r="BI206" s="3" t="str">
        <f t="shared" si="39"/>
        <v>C7</v>
      </c>
      <c r="BJ206" s="3">
        <v>1</v>
      </c>
      <c r="BK206" s="3" t="str">
        <f t="shared" si="40"/>
        <v>C7</v>
      </c>
      <c r="BL206" s="3">
        <v>1.5</v>
      </c>
      <c r="BM206" s="3">
        <v>1.5</v>
      </c>
      <c r="BN206" s="3">
        <f t="shared" si="41"/>
        <v>2.3167589999999998</v>
      </c>
      <c r="BO206" s="3">
        <f t="shared" si="42"/>
        <v>0.81675899999999979</v>
      </c>
      <c r="BP206" s="3" t="s">
        <v>420</v>
      </c>
      <c r="BQ206">
        <v>7</v>
      </c>
      <c r="BR206" t="s">
        <v>83</v>
      </c>
      <c r="BS206" s="3">
        <v>1</v>
      </c>
      <c r="BT206" s="3" t="s">
        <v>418</v>
      </c>
      <c r="BU206" s="3">
        <v>1</v>
      </c>
      <c r="BV206" s="3" t="str">
        <f t="shared" si="43"/>
        <v>C7</v>
      </c>
      <c r="BW206" s="3">
        <f t="shared" si="44"/>
        <v>0.81675899999999979</v>
      </c>
      <c r="BX206" s="21" t="s">
        <v>417</v>
      </c>
      <c r="BY206" s="3" t="str">
        <f t="shared" si="48"/>
        <v>Och-Mixed_Dilution Plate</v>
      </c>
      <c r="BZ206" s="3" t="str">
        <f t="shared" si="49"/>
        <v>C7</v>
      </c>
      <c r="CA206" s="3" t="str">
        <f t="shared" si="50"/>
        <v>Och-C</v>
      </c>
      <c r="CC206" s="3">
        <v>1.5</v>
      </c>
      <c r="CD206" t="s">
        <v>600</v>
      </c>
      <c r="CE206" s="21" t="str">
        <f t="shared" si="45"/>
        <v>OcC0208007C</v>
      </c>
      <c r="CF206" s="21" t="str">
        <f t="shared" si="51"/>
        <v>Och-CCat_080-Ex1-7C-lcwgs-1-1</v>
      </c>
      <c r="CG206" s="3">
        <f t="shared" si="52"/>
        <v>0.97118431394892601</v>
      </c>
      <c r="CH206">
        <v>1045947</v>
      </c>
      <c r="CI206">
        <v>849107</v>
      </c>
      <c r="CJ206" t="s">
        <v>185</v>
      </c>
      <c r="CK206" s="3">
        <v>0</v>
      </c>
      <c r="CL206"/>
      <c r="CM206" s="33"/>
    </row>
    <row r="207" spans="1:96" x14ac:dyDescent="0.55000000000000004">
      <c r="A207" t="s">
        <v>402</v>
      </c>
      <c r="B207" t="s">
        <v>403</v>
      </c>
      <c r="C207" s="3">
        <v>1</v>
      </c>
      <c r="E207" t="s">
        <v>329</v>
      </c>
      <c r="F207">
        <v>11</v>
      </c>
      <c r="G207" t="s">
        <v>87</v>
      </c>
      <c r="H207">
        <v>6.4993605229501208</v>
      </c>
      <c r="I207" s="3" t="s">
        <v>74</v>
      </c>
      <c r="J207" s="3">
        <v>0.1</v>
      </c>
      <c r="K207" s="3">
        <v>7.25</v>
      </c>
      <c r="L207" s="3">
        <v>0.33</v>
      </c>
      <c r="O207" s="3">
        <v>100</v>
      </c>
      <c r="P207" s="3">
        <v>15.386129088682875</v>
      </c>
      <c r="R207" s="3">
        <v>10</v>
      </c>
      <c r="S207" s="4">
        <v>45058</v>
      </c>
      <c r="T207" s="3" t="s">
        <v>282</v>
      </c>
      <c r="U207" s="3" t="s">
        <v>283</v>
      </c>
      <c r="V207" s="11" t="s">
        <v>76</v>
      </c>
      <c r="W207" s="11">
        <v>16</v>
      </c>
      <c r="X207" s="11" t="s">
        <v>88</v>
      </c>
      <c r="Y207" s="11">
        <v>16</v>
      </c>
      <c r="Z207">
        <v>8</v>
      </c>
      <c r="AA207" t="s">
        <v>84</v>
      </c>
      <c r="AB207" t="s">
        <v>284</v>
      </c>
      <c r="AC207" s="3" t="s">
        <v>78</v>
      </c>
      <c r="AD207" s="3">
        <v>6</v>
      </c>
      <c r="AE207">
        <v>8</v>
      </c>
      <c r="AF207" t="s">
        <v>84</v>
      </c>
      <c r="AG207" t="s">
        <v>644</v>
      </c>
      <c r="AH207" s="17" t="s">
        <v>645</v>
      </c>
      <c r="AI207" t="s">
        <v>674</v>
      </c>
      <c r="AJ207" s="18" t="s">
        <v>675</v>
      </c>
      <c r="AO207" s="10">
        <v>3.1460910000000002</v>
      </c>
      <c r="AP207" s="3">
        <v>37</v>
      </c>
      <c r="AQ207" s="3">
        <f t="shared" si="47"/>
        <v>116.40536700000001</v>
      </c>
      <c r="BE207" s="3" t="s">
        <v>79</v>
      </c>
      <c r="BF207" s="3" t="s">
        <v>80</v>
      </c>
      <c r="BG207" s="3" t="s">
        <v>416</v>
      </c>
      <c r="BH207" s="3">
        <f t="shared" si="46"/>
        <v>3</v>
      </c>
      <c r="BI207" s="3" t="str">
        <f t="shared" si="39"/>
        <v>D8</v>
      </c>
      <c r="BJ207" s="3">
        <v>13</v>
      </c>
      <c r="BK207" s="3" t="str">
        <f t="shared" si="40"/>
        <v>D2</v>
      </c>
      <c r="BL207" s="3">
        <v>1.5</v>
      </c>
      <c r="BM207" s="3">
        <v>1.5</v>
      </c>
      <c r="BN207" s="3">
        <f t="shared" si="41"/>
        <v>3.1460910000000002</v>
      </c>
      <c r="BO207" s="3">
        <f t="shared" si="42"/>
        <v>1.6460910000000002</v>
      </c>
      <c r="BP207" s="3" t="s">
        <v>419</v>
      </c>
      <c r="BQ207">
        <v>2</v>
      </c>
      <c r="BR207" t="s">
        <v>84</v>
      </c>
      <c r="BS207" s="3">
        <v>1</v>
      </c>
      <c r="BT207" s="3" t="s">
        <v>418</v>
      </c>
      <c r="BU207" s="3">
        <v>2</v>
      </c>
      <c r="BV207" s="3" t="str">
        <f t="shared" si="43"/>
        <v>D2</v>
      </c>
      <c r="BW207" s="3">
        <f t="shared" si="44"/>
        <v>1.6460910000000002</v>
      </c>
      <c r="BX207" s="21" t="s">
        <v>417</v>
      </c>
      <c r="BY207" s="3" t="str">
        <f t="shared" si="48"/>
        <v>Och-C_DilutionPlate</v>
      </c>
      <c r="BZ207" s="3" t="str">
        <f t="shared" si="49"/>
        <v>D2</v>
      </c>
      <c r="CA207" s="3" t="str">
        <f t="shared" si="50"/>
        <v>Och-C</v>
      </c>
      <c r="CC207" s="3">
        <v>1.5</v>
      </c>
      <c r="CD207" t="s">
        <v>609</v>
      </c>
      <c r="CE207" s="21" t="str">
        <f t="shared" si="45"/>
        <v>OcC0208108D</v>
      </c>
      <c r="CF207" s="21" t="str">
        <f t="shared" si="51"/>
        <v>Och-CCat_081-Ex1-8D-lcwgs-1-1</v>
      </c>
      <c r="CG207" s="3">
        <f t="shared" si="52"/>
        <v>0.71517321018368496</v>
      </c>
      <c r="CH207">
        <v>1336068</v>
      </c>
      <c r="CI207">
        <v>1079659</v>
      </c>
      <c r="CJ207" t="s">
        <v>185</v>
      </c>
      <c r="CK207" s="3">
        <v>0</v>
      </c>
      <c r="CL207"/>
      <c r="CM207" s="33"/>
    </row>
    <row r="208" spans="1:96" x14ac:dyDescent="0.55000000000000004">
      <c r="A208" t="s">
        <v>378</v>
      </c>
      <c r="B208" t="s">
        <v>379</v>
      </c>
      <c r="C208" s="3">
        <v>1</v>
      </c>
      <c r="E208" t="s">
        <v>329</v>
      </c>
      <c r="F208">
        <v>12</v>
      </c>
      <c r="G208" t="s">
        <v>87</v>
      </c>
      <c r="H208">
        <v>3.5986819667471934</v>
      </c>
      <c r="I208" s="3" t="s">
        <v>74</v>
      </c>
      <c r="J208" s="3">
        <v>0.1</v>
      </c>
      <c r="K208" s="3">
        <v>7.25</v>
      </c>
      <c r="L208" s="3">
        <v>0.33</v>
      </c>
      <c r="O208" s="3">
        <v>100</v>
      </c>
      <c r="P208" s="3">
        <v>27.787951512255702</v>
      </c>
      <c r="R208" s="3">
        <v>10</v>
      </c>
      <c r="S208" s="4">
        <v>45058</v>
      </c>
      <c r="T208" s="3" t="s">
        <v>282</v>
      </c>
      <c r="U208" s="3" t="s">
        <v>283</v>
      </c>
      <c r="V208" s="11" t="s">
        <v>84</v>
      </c>
      <c r="W208" s="11">
        <v>12</v>
      </c>
      <c r="X208" s="11" t="s">
        <v>92</v>
      </c>
      <c r="Y208" s="11">
        <v>12</v>
      </c>
      <c r="Z208">
        <v>6</v>
      </c>
      <c r="AA208" t="s">
        <v>92</v>
      </c>
      <c r="AB208" t="s">
        <v>284</v>
      </c>
      <c r="AC208" s="3" t="s">
        <v>78</v>
      </c>
      <c r="AD208" s="3">
        <v>6</v>
      </c>
      <c r="AE208">
        <v>6</v>
      </c>
      <c r="AF208" t="s">
        <v>92</v>
      </c>
      <c r="AG208" t="s">
        <v>706</v>
      </c>
      <c r="AH208" s="17" t="s">
        <v>707</v>
      </c>
      <c r="AI208" t="s">
        <v>670</v>
      </c>
      <c r="AJ208" s="18" t="s">
        <v>671</v>
      </c>
      <c r="AO208" s="10">
        <v>5.1979319999999998</v>
      </c>
      <c r="AP208" s="3">
        <v>37</v>
      </c>
      <c r="AQ208" s="3">
        <f t="shared" si="47"/>
        <v>192.32348399999998</v>
      </c>
      <c r="BE208" s="3" t="s">
        <v>79</v>
      </c>
      <c r="BF208" s="3" t="s">
        <v>80</v>
      </c>
      <c r="BG208" s="3" t="s">
        <v>416</v>
      </c>
      <c r="BH208" s="3">
        <f t="shared" si="46"/>
        <v>3</v>
      </c>
      <c r="BI208" s="3" t="str">
        <f t="shared" si="39"/>
        <v>H6</v>
      </c>
      <c r="BJ208" s="3">
        <v>68</v>
      </c>
      <c r="BK208" s="3" t="str">
        <f t="shared" si="40"/>
        <v>C9</v>
      </c>
      <c r="BL208" s="3">
        <v>1.5</v>
      </c>
      <c r="BM208" s="3">
        <v>1.5</v>
      </c>
      <c r="BN208" s="3">
        <f t="shared" si="41"/>
        <v>5.1979319999999998</v>
      </c>
      <c r="BO208" s="3">
        <f t="shared" si="42"/>
        <v>3.6979319999999998</v>
      </c>
      <c r="BP208" s="3" t="s">
        <v>419</v>
      </c>
      <c r="BQ208">
        <v>9</v>
      </c>
      <c r="BR208" t="s">
        <v>83</v>
      </c>
      <c r="BS208" s="3">
        <v>1</v>
      </c>
      <c r="BT208" s="3" t="s">
        <v>418</v>
      </c>
      <c r="BU208" s="3">
        <v>2</v>
      </c>
      <c r="BV208" s="3" t="str">
        <f t="shared" si="43"/>
        <v>C9</v>
      </c>
      <c r="BW208" s="3">
        <f t="shared" si="44"/>
        <v>3.6979319999999998</v>
      </c>
      <c r="BX208" s="21" t="s">
        <v>417</v>
      </c>
      <c r="BY208" s="3" t="str">
        <f t="shared" si="48"/>
        <v>Och-C_DilutionPlate</v>
      </c>
      <c r="BZ208" s="3" t="str">
        <f t="shared" si="49"/>
        <v>C9</v>
      </c>
      <c r="CA208" s="3" t="str">
        <f t="shared" si="50"/>
        <v>Och-C</v>
      </c>
      <c r="CC208" s="3">
        <v>1.5</v>
      </c>
      <c r="CD208" t="s">
        <v>597</v>
      </c>
      <c r="CE208" s="21" t="str">
        <f t="shared" si="45"/>
        <v>OcC0208206H</v>
      </c>
      <c r="CF208" s="21" t="str">
        <f t="shared" si="51"/>
        <v>Och-CCat_082-Ex1-6H-lcwgs-1-1</v>
      </c>
      <c r="CG208" s="3">
        <f t="shared" si="52"/>
        <v>0.43286445455615813</v>
      </c>
      <c r="CH208">
        <v>1556973</v>
      </c>
      <c r="CI208">
        <v>1252535</v>
      </c>
      <c r="CJ208" t="s">
        <v>79</v>
      </c>
      <c r="CK208" s="3">
        <v>21.855282075955376</v>
      </c>
      <c r="CL208" t="s">
        <v>1201</v>
      </c>
      <c r="CM208" s="33" t="s">
        <v>1801</v>
      </c>
      <c r="CN208" s="3" t="str">
        <f>B208&amp;"-"&amp;Z208&amp;AA208&amp;"-lcwgs-"&amp;C208&amp;"-2"</f>
        <v>Och-CCat_082-Ex1-6H-lcwgs-1-2</v>
      </c>
      <c r="CR208"/>
    </row>
    <row r="209" spans="1:96" x14ac:dyDescent="0.55000000000000004">
      <c r="A209" t="s">
        <v>374</v>
      </c>
      <c r="B209" t="s">
        <v>375</v>
      </c>
      <c r="C209" s="3">
        <v>1</v>
      </c>
      <c r="E209" t="s">
        <v>329</v>
      </c>
      <c r="F209">
        <v>1</v>
      </c>
      <c r="G209" t="s">
        <v>88</v>
      </c>
      <c r="H209">
        <v>3.242457723461702</v>
      </c>
      <c r="I209" s="3" t="s">
        <v>74</v>
      </c>
      <c r="J209" s="3">
        <v>0.1</v>
      </c>
      <c r="K209" s="3">
        <v>7.25</v>
      </c>
      <c r="L209" s="3">
        <v>0.33</v>
      </c>
      <c r="O209" s="3">
        <v>100</v>
      </c>
      <c r="P209" s="3">
        <v>30.840803035432742</v>
      </c>
      <c r="R209" s="3">
        <v>10</v>
      </c>
      <c r="S209" s="4">
        <v>45058</v>
      </c>
      <c r="T209" s="3" t="s">
        <v>282</v>
      </c>
      <c r="U209" s="3" t="s">
        <v>283</v>
      </c>
      <c r="V209" s="11" t="s">
        <v>83</v>
      </c>
      <c r="W209" s="11">
        <v>12</v>
      </c>
      <c r="X209" s="11" t="s">
        <v>91</v>
      </c>
      <c r="Y209" s="11">
        <v>12</v>
      </c>
      <c r="Z209">
        <v>6</v>
      </c>
      <c r="AA209" t="s">
        <v>88</v>
      </c>
      <c r="AB209" t="s">
        <v>284</v>
      </c>
      <c r="AC209" s="3" t="s">
        <v>78</v>
      </c>
      <c r="AD209" s="3">
        <v>6</v>
      </c>
      <c r="AE209">
        <v>6</v>
      </c>
      <c r="AF209" t="s">
        <v>88</v>
      </c>
      <c r="AG209" t="s">
        <v>648</v>
      </c>
      <c r="AH209" s="17" t="s">
        <v>649</v>
      </c>
      <c r="AI209" t="s">
        <v>670</v>
      </c>
      <c r="AJ209" s="18" t="s">
        <v>671</v>
      </c>
      <c r="AO209" s="10">
        <v>3.952601</v>
      </c>
      <c r="AP209" s="3">
        <v>37</v>
      </c>
      <c r="AQ209" s="3">
        <f t="shared" si="47"/>
        <v>146.24623700000001</v>
      </c>
      <c r="BE209" s="3" t="s">
        <v>79</v>
      </c>
      <c r="BF209" s="3" t="s">
        <v>80</v>
      </c>
      <c r="BG209" s="3" t="s">
        <v>416</v>
      </c>
      <c r="BH209" s="3">
        <f t="shared" si="46"/>
        <v>3</v>
      </c>
      <c r="BI209" s="3" t="str">
        <f t="shared" si="39"/>
        <v>F6</v>
      </c>
      <c r="BJ209" s="3">
        <v>41</v>
      </c>
      <c r="BK209" s="3" t="str">
        <f t="shared" si="40"/>
        <v>H5</v>
      </c>
      <c r="BL209" s="3">
        <v>1.5</v>
      </c>
      <c r="BM209" s="3">
        <v>1.5</v>
      </c>
      <c r="BN209" s="3">
        <f t="shared" si="41"/>
        <v>3.952601</v>
      </c>
      <c r="BO209" s="3">
        <f t="shared" si="42"/>
        <v>2.452601</v>
      </c>
      <c r="BP209" s="3" t="s">
        <v>419</v>
      </c>
      <c r="BQ209">
        <v>5</v>
      </c>
      <c r="BR209" t="s">
        <v>92</v>
      </c>
      <c r="BS209" s="3">
        <v>1</v>
      </c>
      <c r="BT209" s="3" t="s">
        <v>418</v>
      </c>
      <c r="BU209" s="3">
        <v>2</v>
      </c>
      <c r="BV209" s="3" t="str">
        <f t="shared" si="43"/>
        <v>H5</v>
      </c>
      <c r="BW209" s="3">
        <f t="shared" si="44"/>
        <v>2.452601</v>
      </c>
      <c r="BX209" s="21" t="s">
        <v>417</v>
      </c>
      <c r="BY209" s="3" t="str">
        <f t="shared" si="48"/>
        <v>Och-C_DilutionPlate</v>
      </c>
      <c r="BZ209" s="3" t="str">
        <f t="shared" si="49"/>
        <v>H5</v>
      </c>
      <c r="CA209" s="3" t="str">
        <f t="shared" si="50"/>
        <v>Och-C</v>
      </c>
      <c r="CC209" s="3">
        <v>1.5</v>
      </c>
      <c r="CD209" t="s">
        <v>595</v>
      </c>
      <c r="CE209" s="21" t="str">
        <f t="shared" si="45"/>
        <v>OcC0208306F</v>
      </c>
      <c r="CF209" s="21" t="str">
        <f t="shared" si="51"/>
        <v>Och-CCat_083-Ex1-6F-lcwgs-1-1</v>
      </c>
      <c r="CG209" s="3">
        <f t="shared" si="52"/>
        <v>0.56924541586666599</v>
      </c>
      <c r="CH209">
        <v>3689632</v>
      </c>
      <c r="CI209">
        <v>2958593</v>
      </c>
      <c r="CJ209" t="s">
        <v>79</v>
      </c>
      <c r="CK209" s="3">
        <v>11.630115145449411</v>
      </c>
      <c r="CL209" t="s">
        <v>1201</v>
      </c>
      <c r="CM209" s="33" t="s">
        <v>1802</v>
      </c>
      <c r="CN209" s="3" t="str">
        <f>B209&amp;"-"&amp;Z209&amp;AA209&amp;"-lcwgs-"&amp;C209&amp;"-2"</f>
        <v>Och-CCat_083-Ex1-6F-lcwgs-1-2</v>
      </c>
      <c r="CR209"/>
    </row>
    <row r="210" spans="1:96" x14ac:dyDescent="0.55000000000000004">
      <c r="A210" t="s">
        <v>386</v>
      </c>
      <c r="B210" t="s">
        <v>387</v>
      </c>
      <c r="C210" s="3">
        <v>1</v>
      </c>
      <c r="E210" t="s">
        <v>329</v>
      </c>
      <c r="F210">
        <v>2</v>
      </c>
      <c r="G210" t="s">
        <v>88</v>
      </c>
      <c r="H210">
        <v>4.2251847378144092</v>
      </c>
      <c r="I210" s="3" t="s">
        <v>74</v>
      </c>
      <c r="J210" s="3">
        <v>0.1</v>
      </c>
      <c r="K210" s="3">
        <v>7.25</v>
      </c>
      <c r="L210" s="3">
        <v>0.33</v>
      </c>
      <c r="O210" s="3">
        <v>100</v>
      </c>
      <c r="P210" s="3">
        <v>23.667604189001143</v>
      </c>
      <c r="R210" s="3">
        <v>10</v>
      </c>
      <c r="S210" s="4">
        <v>45058</v>
      </c>
      <c r="T210" s="3" t="s">
        <v>282</v>
      </c>
      <c r="U210" s="3" t="s">
        <v>283</v>
      </c>
      <c r="V210" s="11" t="s">
        <v>76</v>
      </c>
      <c r="W210" s="11">
        <v>14</v>
      </c>
      <c r="X210" s="11" t="s">
        <v>88</v>
      </c>
      <c r="Y210" s="11">
        <v>14</v>
      </c>
      <c r="Z210">
        <v>7</v>
      </c>
      <c r="AA210" t="s">
        <v>84</v>
      </c>
      <c r="AB210" t="s">
        <v>284</v>
      </c>
      <c r="AC210" s="3" t="s">
        <v>78</v>
      </c>
      <c r="AD210" s="3">
        <v>6</v>
      </c>
      <c r="AE210">
        <v>7</v>
      </c>
      <c r="AF210" t="s">
        <v>84</v>
      </c>
      <c r="AG210" t="s">
        <v>644</v>
      </c>
      <c r="AH210" s="17" t="s">
        <v>645</v>
      </c>
      <c r="AI210" t="s">
        <v>672</v>
      </c>
      <c r="AJ210" s="18" t="s">
        <v>673</v>
      </c>
      <c r="AO210" s="10">
        <v>3.1955149999999999</v>
      </c>
      <c r="AP210" s="3">
        <v>37</v>
      </c>
      <c r="AQ210" s="3">
        <f t="shared" si="47"/>
        <v>118.234055</v>
      </c>
      <c r="BE210" s="3" t="s">
        <v>79</v>
      </c>
      <c r="BF210" s="3" t="s">
        <v>80</v>
      </c>
      <c r="BG210" s="3" t="s">
        <v>416</v>
      </c>
      <c r="BH210" s="3">
        <f t="shared" si="46"/>
        <v>3</v>
      </c>
      <c r="BI210" s="3" t="str">
        <f t="shared" si="39"/>
        <v>D7</v>
      </c>
      <c r="BJ210" s="3">
        <v>15</v>
      </c>
      <c r="BK210" s="3" t="str">
        <f t="shared" si="40"/>
        <v>F2</v>
      </c>
      <c r="BL210" s="3">
        <v>1.5</v>
      </c>
      <c r="BM210" s="3">
        <v>1.5</v>
      </c>
      <c r="BN210" s="3">
        <f t="shared" si="41"/>
        <v>3.1955149999999999</v>
      </c>
      <c r="BO210" s="3">
        <f t="shared" si="42"/>
        <v>1.6955149999999999</v>
      </c>
      <c r="BP210" s="3" t="s">
        <v>419</v>
      </c>
      <c r="BQ210">
        <v>2</v>
      </c>
      <c r="BR210" t="s">
        <v>88</v>
      </c>
      <c r="BS210" s="3">
        <v>1</v>
      </c>
      <c r="BT210" s="3" t="s">
        <v>418</v>
      </c>
      <c r="BU210" s="3">
        <v>2</v>
      </c>
      <c r="BV210" s="3" t="str">
        <f t="shared" si="43"/>
        <v>F2</v>
      </c>
      <c r="BW210" s="3">
        <f t="shared" si="44"/>
        <v>1.6955149999999999</v>
      </c>
      <c r="BX210" s="21" t="s">
        <v>417</v>
      </c>
      <c r="BY210" s="3" t="str">
        <f t="shared" si="48"/>
        <v>Och-C_DilutionPlate</v>
      </c>
      <c r="BZ210" s="3" t="str">
        <f t="shared" si="49"/>
        <v>F2</v>
      </c>
      <c r="CA210" s="3" t="str">
        <f t="shared" si="50"/>
        <v>Och-C</v>
      </c>
      <c r="CC210" s="3">
        <v>1.5</v>
      </c>
      <c r="CD210" t="s">
        <v>601</v>
      </c>
      <c r="CE210" s="21" t="str">
        <f t="shared" si="45"/>
        <v>OcC0208407D</v>
      </c>
      <c r="CF210" s="21" t="str">
        <f t="shared" si="51"/>
        <v>Och-CCat_084-Ex1-7D-lcwgs-1-1</v>
      </c>
      <c r="CG210" s="3">
        <f t="shared" si="52"/>
        <v>0.70411185677426025</v>
      </c>
      <c r="CH210">
        <v>2412721</v>
      </c>
      <c r="CI210">
        <v>1959700</v>
      </c>
      <c r="CJ210" t="s">
        <v>79</v>
      </c>
      <c r="CK210" s="3">
        <v>22.305875826755845</v>
      </c>
      <c r="CL210" t="s">
        <v>1201</v>
      </c>
      <c r="CM210" s="33" t="s">
        <v>1803</v>
      </c>
      <c r="CN210" s="3" t="str">
        <f>B210&amp;"-"&amp;Z210&amp;AA210&amp;"-lcwgs-"&amp;C210&amp;"-2"</f>
        <v>Och-CCat_084-Ex1-7D-lcwgs-1-2</v>
      </c>
      <c r="CR210"/>
    </row>
    <row r="211" spans="1:96" x14ac:dyDescent="0.55000000000000004">
      <c r="A211" t="s">
        <v>376</v>
      </c>
      <c r="B211" t="s">
        <v>377</v>
      </c>
      <c r="C211" s="3">
        <v>1</v>
      </c>
      <c r="E211" t="s">
        <v>329</v>
      </c>
      <c r="F211">
        <v>3</v>
      </c>
      <c r="G211" t="s">
        <v>88</v>
      </c>
      <c r="H211">
        <v>3.4875905925820661</v>
      </c>
      <c r="I211" s="3" t="s">
        <v>74</v>
      </c>
      <c r="J211" s="3">
        <v>0.1</v>
      </c>
      <c r="K211" s="3">
        <v>7.25</v>
      </c>
      <c r="L211" s="3">
        <v>0.33</v>
      </c>
      <c r="O211" s="3">
        <v>100</v>
      </c>
      <c r="P211" s="3">
        <v>28.673090302713597</v>
      </c>
      <c r="R211" s="3">
        <v>10</v>
      </c>
      <c r="S211" s="4">
        <v>45058</v>
      </c>
      <c r="T211" s="3" t="s">
        <v>282</v>
      </c>
      <c r="U211" s="3" t="s">
        <v>283</v>
      </c>
      <c r="V211" s="11" t="s">
        <v>84</v>
      </c>
      <c r="W211" s="11">
        <v>11</v>
      </c>
      <c r="X211" s="11" t="s">
        <v>92</v>
      </c>
      <c r="Y211" s="11">
        <v>11</v>
      </c>
      <c r="Z211">
        <v>6</v>
      </c>
      <c r="AA211" t="s">
        <v>91</v>
      </c>
      <c r="AB211" t="s">
        <v>284</v>
      </c>
      <c r="AC211" s="3" t="s">
        <v>78</v>
      </c>
      <c r="AD211" s="3">
        <v>6</v>
      </c>
      <c r="AE211">
        <v>6</v>
      </c>
      <c r="AF211" t="s">
        <v>91</v>
      </c>
      <c r="AG211" t="s">
        <v>650</v>
      </c>
      <c r="AH211" s="17" t="s">
        <v>651</v>
      </c>
      <c r="AI211" t="s">
        <v>670</v>
      </c>
      <c r="AJ211" s="18" t="s">
        <v>671</v>
      </c>
      <c r="AO211" s="10">
        <v>4.1174540000000004</v>
      </c>
      <c r="AP211" s="3">
        <v>37</v>
      </c>
      <c r="AQ211" s="3">
        <f t="shared" si="47"/>
        <v>152.345798</v>
      </c>
      <c r="BE211" s="3" t="s">
        <v>79</v>
      </c>
      <c r="BF211" s="3" t="s">
        <v>80</v>
      </c>
      <c r="BG211" s="3" t="s">
        <v>416</v>
      </c>
      <c r="BH211" s="3">
        <f t="shared" si="46"/>
        <v>3</v>
      </c>
      <c r="BI211" s="3" t="str">
        <f t="shared" si="39"/>
        <v>G6</v>
      </c>
      <c r="BJ211" s="3">
        <v>46</v>
      </c>
      <c r="BK211" s="3" t="str">
        <f t="shared" si="40"/>
        <v>E6</v>
      </c>
      <c r="BL211" s="3">
        <v>1.5</v>
      </c>
      <c r="BM211" s="3">
        <v>1.5</v>
      </c>
      <c r="BN211" s="3">
        <f t="shared" si="41"/>
        <v>4.1174540000000004</v>
      </c>
      <c r="BO211" s="3">
        <f t="shared" si="42"/>
        <v>2.6174540000000004</v>
      </c>
      <c r="BP211" s="3" t="s">
        <v>419</v>
      </c>
      <c r="BQ211">
        <v>6</v>
      </c>
      <c r="BR211" t="s">
        <v>87</v>
      </c>
      <c r="BS211" s="3">
        <v>1</v>
      </c>
      <c r="BT211" s="3" t="s">
        <v>418</v>
      </c>
      <c r="BU211" s="3">
        <v>2</v>
      </c>
      <c r="BV211" s="3" t="str">
        <f t="shared" si="43"/>
        <v>E6</v>
      </c>
      <c r="BW211" s="3">
        <f t="shared" si="44"/>
        <v>2.6174540000000004</v>
      </c>
      <c r="BX211" s="21" t="s">
        <v>417</v>
      </c>
      <c r="BY211" s="3" t="str">
        <f t="shared" si="48"/>
        <v>Och-C_DilutionPlate</v>
      </c>
      <c r="BZ211" s="3" t="str">
        <f t="shared" si="49"/>
        <v>E6</v>
      </c>
      <c r="CA211" s="3" t="str">
        <f t="shared" si="50"/>
        <v>Och-C</v>
      </c>
      <c r="CC211" s="3">
        <v>1.5</v>
      </c>
      <c r="CD211" t="s">
        <v>596</v>
      </c>
      <c r="CE211" s="21" t="str">
        <f t="shared" si="45"/>
        <v>OcC0208506G</v>
      </c>
      <c r="CF211" s="21" t="str">
        <f t="shared" si="51"/>
        <v>Och-CCat_085-Ex1-6G-lcwgs-1-1</v>
      </c>
      <c r="CG211" s="3">
        <f t="shared" si="52"/>
        <v>0.54645419232370285</v>
      </c>
      <c r="CH211">
        <v>2499748</v>
      </c>
      <c r="CI211">
        <v>2029740</v>
      </c>
      <c r="CJ211" t="s">
        <v>79</v>
      </c>
      <c r="CK211" s="3">
        <v>16.683124710092187</v>
      </c>
      <c r="CL211" t="s">
        <v>1201</v>
      </c>
      <c r="CM211" s="33" t="s">
        <v>1804</v>
      </c>
      <c r="CN211" s="3" t="str">
        <f>B211&amp;"-"&amp;Z211&amp;AA211&amp;"-lcwgs-"&amp;C211&amp;"-2"</f>
        <v>Och-CCat_085-Ex1-6G-lcwgs-1-2</v>
      </c>
      <c r="CR211"/>
    </row>
    <row r="212" spans="1:96" x14ac:dyDescent="0.55000000000000004">
      <c r="A212" t="s">
        <v>404</v>
      </c>
      <c r="B212" t="s">
        <v>405</v>
      </c>
      <c r="C212" s="3">
        <v>1</v>
      </c>
      <c r="E212" t="s">
        <v>329</v>
      </c>
      <c r="F212">
        <v>4</v>
      </c>
      <c r="G212" t="s">
        <v>88</v>
      </c>
      <c r="H212">
        <v>6.6789896262611901</v>
      </c>
      <c r="I212" s="3" t="s">
        <v>74</v>
      </c>
      <c r="J212" s="3">
        <v>0.1</v>
      </c>
      <c r="K212" s="3">
        <v>7.25</v>
      </c>
      <c r="L212" s="3">
        <v>0.33</v>
      </c>
      <c r="O212" s="3">
        <v>100</v>
      </c>
      <c r="P212" s="3">
        <v>14.972324497527133</v>
      </c>
      <c r="R212" s="3">
        <v>10</v>
      </c>
      <c r="S212" s="4">
        <v>45058</v>
      </c>
      <c r="T212" s="3" t="s">
        <v>282</v>
      </c>
      <c r="U212" s="3" t="s">
        <v>283</v>
      </c>
      <c r="V212" s="11" t="s">
        <v>83</v>
      </c>
      <c r="W212" s="11">
        <v>15</v>
      </c>
      <c r="X212" s="11" t="s">
        <v>91</v>
      </c>
      <c r="Y212" s="11">
        <v>15</v>
      </c>
      <c r="Z212">
        <v>8</v>
      </c>
      <c r="AA212" t="s">
        <v>87</v>
      </c>
      <c r="AB212" t="s">
        <v>284</v>
      </c>
      <c r="AC212" s="3" t="s">
        <v>78</v>
      </c>
      <c r="AD212" s="3">
        <v>6</v>
      </c>
      <c r="AE212">
        <v>8</v>
      </c>
      <c r="AF212" t="s">
        <v>87</v>
      </c>
      <c r="AG212" t="s">
        <v>646</v>
      </c>
      <c r="AH212" s="17" t="s">
        <v>647</v>
      </c>
      <c r="AI212" t="s">
        <v>674</v>
      </c>
      <c r="AJ212" s="18" t="s">
        <v>675</v>
      </c>
      <c r="AO212" s="10">
        <v>2.9517519999999999</v>
      </c>
      <c r="AP212" s="3">
        <v>37</v>
      </c>
      <c r="AQ212" s="3">
        <f t="shared" si="47"/>
        <v>109.21482399999999</v>
      </c>
      <c r="BE212" s="3" t="s">
        <v>79</v>
      </c>
      <c r="BF212" s="3" t="s">
        <v>80</v>
      </c>
      <c r="BG212" s="3" t="s">
        <v>416</v>
      </c>
      <c r="BH212" s="3">
        <f t="shared" si="46"/>
        <v>3</v>
      </c>
      <c r="BI212" s="3" t="str">
        <f t="shared" si="39"/>
        <v>E8</v>
      </c>
      <c r="BJ212" s="3">
        <v>4</v>
      </c>
      <c r="BK212" s="3" t="str">
        <f t="shared" si="40"/>
        <v>C1</v>
      </c>
      <c r="BL212" s="3">
        <v>1.5</v>
      </c>
      <c r="BM212" s="3">
        <v>1.5</v>
      </c>
      <c r="BN212" s="3">
        <f t="shared" si="41"/>
        <v>2.9517520000000004</v>
      </c>
      <c r="BO212" s="3">
        <f t="shared" si="42"/>
        <v>1.4517520000000004</v>
      </c>
      <c r="BP212" s="3" t="s">
        <v>419</v>
      </c>
      <c r="BQ212">
        <v>1</v>
      </c>
      <c r="BR212" t="s">
        <v>83</v>
      </c>
      <c r="BS212" s="3">
        <v>1</v>
      </c>
      <c r="BT212" s="3" t="s">
        <v>418</v>
      </c>
      <c r="BU212" s="3">
        <v>2</v>
      </c>
      <c r="BV212" s="3" t="str">
        <f t="shared" si="43"/>
        <v>C1</v>
      </c>
      <c r="BW212" s="3">
        <f t="shared" si="44"/>
        <v>1.4517520000000004</v>
      </c>
      <c r="BX212" s="21" t="s">
        <v>417</v>
      </c>
      <c r="BY212" s="3" t="str">
        <f t="shared" si="48"/>
        <v>Och-C_DilutionPlate</v>
      </c>
      <c r="BZ212" s="3" t="str">
        <f t="shared" si="49"/>
        <v>C1</v>
      </c>
      <c r="CA212" s="3" t="str">
        <f t="shared" si="50"/>
        <v>Och-C</v>
      </c>
      <c r="CC212" s="3">
        <v>1.5</v>
      </c>
      <c r="CD212" t="s">
        <v>610</v>
      </c>
      <c r="CE212" s="21" t="str">
        <f t="shared" si="45"/>
        <v>OcC0208608E</v>
      </c>
      <c r="CF212" s="21" t="str">
        <f t="shared" si="51"/>
        <v>Och-CCat_086-Ex1-8E-lcwgs-1-1</v>
      </c>
      <c r="CG212" s="3">
        <f t="shared" si="52"/>
        <v>0.76225915998362992</v>
      </c>
      <c r="CH212">
        <v>1913164</v>
      </c>
      <c r="CI212">
        <v>1503679</v>
      </c>
      <c r="CJ212" t="s">
        <v>185</v>
      </c>
      <c r="CK212" s="3">
        <v>0</v>
      </c>
      <c r="CL212"/>
      <c r="CM212" s="33"/>
    </row>
    <row r="213" spans="1:96" x14ac:dyDescent="0.55000000000000004">
      <c r="A213" t="s">
        <v>368</v>
      </c>
      <c r="B213" t="s">
        <v>369</v>
      </c>
      <c r="C213" s="3">
        <v>1</v>
      </c>
      <c r="E213" t="s">
        <v>329</v>
      </c>
      <c r="F213">
        <v>5</v>
      </c>
      <c r="G213" t="s">
        <v>88</v>
      </c>
      <c r="H213">
        <v>3.0735860451897112</v>
      </c>
      <c r="I213" s="3" t="s">
        <v>74</v>
      </c>
      <c r="J213" s="3">
        <v>0.1</v>
      </c>
      <c r="K213" s="3">
        <v>7.25</v>
      </c>
      <c r="L213" s="3">
        <v>0.33</v>
      </c>
      <c r="O213" s="3">
        <v>100</v>
      </c>
      <c r="P213" s="3">
        <v>32.535285666234763</v>
      </c>
      <c r="R213" s="3">
        <v>10</v>
      </c>
      <c r="S213" s="4">
        <v>45058</v>
      </c>
      <c r="T213" s="3" t="s">
        <v>282</v>
      </c>
      <c r="U213" s="3" t="s">
        <v>283</v>
      </c>
      <c r="V213" s="11" t="s">
        <v>76</v>
      </c>
      <c r="W213" s="11">
        <v>11</v>
      </c>
      <c r="X213" s="11" t="s">
        <v>88</v>
      </c>
      <c r="Y213" s="11">
        <v>11</v>
      </c>
      <c r="Z213">
        <v>6</v>
      </c>
      <c r="AA213" t="s">
        <v>83</v>
      </c>
      <c r="AB213" t="s">
        <v>284</v>
      </c>
      <c r="AC213" s="3" t="s">
        <v>78</v>
      </c>
      <c r="AD213" s="3">
        <v>6</v>
      </c>
      <c r="AE213">
        <v>6</v>
      </c>
      <c r="AF213" t="s">
        <v>83</v>
      </c>
      <c r="AG213" t="s">
        <v>642</v>
      </c>
      <c r="AH213" s="17" t="s">
        <v>643</v>
      </c>
      <c r="AI213" t="s">
        <v>670</v>
      </c>
      <c r="AJ213" s="18" t="s">
        <v>671</v>
      </c>
      <c r="AO213" s="10">
        <v>2.698674</v>
      </c>
      <c r="AP213" s="3">
        <v>37</v>
      </c>
      <c r="AQ213" s="3">
        <f t="shared" si="47"/>
        <v>99.850937999999999</v>
      </c>
      <c r="BE213" s="3" t="s">
        <v>79</v>
      </c>
      <c r="BF213" s="3" t="s">
        <v>80</v>
      </c>
      <c r="BG213" s="3" t="s">
        <v>416</v>
      </c>
      <c r="BH213" s="3">
        <f t="shared" si="46"/>
        <v>3</v>
      </c>
      <c r="BI213" s="3" t="str">
        <f t="shared" si="39"/>
        <v>C6</v>
      </c>
      <c r="BJ213" s="3">
        <v>1</v>
      </c>
      <c r="BK213" s="3" t="str">
        <f t="shared" si="40"/>
        <v>A8</v>
      </c>
      <c r="BL213" s="3">
        <v>1.5</v>
      </c>
      <c r="BM213" s="3">
        <v>1.5</v>
      </c>
      <c r="BN213" s="3">
        <f t="shared" si="41"/>
        <v>2.698674</v>
      </c>
      <c r="BO213" s="3">
        <f t="shared" si="42"/>
        <v>1.198674</v>
      </c>
      <c r="BP213" s="3" t="s">
        <v>420</v>
      </c>
      <c r="BQ213">
        <v>8</v>
      </c>
      <c r="BR213" t="s">
        <v>73</v>
      </c>
      <c r="BS213" s="3">
        <v>1</v>
      </c>
      <c r="BT213" s="3" t="s">
        <v>418</v>
      </c>
      <c r="BU213" s="3">
        <v>1</v>
      </c>
      <c r="BV213" s="3" t="str">
        <f t="shared" si="43"/>
        <v>A8</v>
      </c>
      <c r="BW213" s="3">
        <f t="shared" si="44"/>
        <v>1.198674</v>
      </c>
      <c r="BX213" s="21" t="s">
        <v>417</v>
      </c>
      <c r="BY213" s="3" t="str">
        <f t="shared" si="48"/>
        <v>Och-Mixed_Dilution Plate</v>
      </c>
      <c r="BZ213" s="3" t="str">
        <f t="shared" si="49"/>
        <v>A8</v>
      </c>
      <c r="CA213" s="3" t="str">
        <f t="shared" si="50"/>
        <v>Och-C</v>
      </c>
      <c r="CC213" s="3">
        <v>1.5</v>
      </c>
      <c r="CD213" t="s">
        <v>593</v>
      </c>
      <c r="CE213" s="21" t="str">
        <f t="shared" si="45"/>
        <v>OcC0208706C</v>
      </c>
      <c r="CF213" s="21" t="str">
        <f t="shared" si="51"/>
        <v>Och-CCat_087-Ex1-6C-lcwgs-1-1</v>
      </c>
      <c r="CG213" s="3">
        <f t="shared" si="52"/>
        <v>0.83374279368311988</v>
      </c>
      <c r="CH213">
        <v>1732876</v>
      </c>
      <c r="CI213">
        <v>1402836</v>
      </c>
      <c r="CJ213" t="s">
        <v>185</v>
      </c>
      <c r="CK213" s="3">
        <v>0</v>
      </c>
      <c r="CL213"/>
      <c r="CM213" s="33"/>
    </row>
    <row r="214" spans="1:96" x14ac:dyDescent="0.55000000000000004">
      <c r="A214" t="s">
        <v>394</v>
      </c>
      <c r="B214" t="s">
        <v>395</v>
      </c>
      <c r="C214" s="3">
        <v>1</v>
      </c>
      <c r="E214" t="s">
        <v>329</v>
      </c>
      <c r="F214">
        <v>6</v>
      </c>
      <c r="G214" t="s">
        <v>88</v>
      </c>
      <c r="H214">
        <v>5.5076595139974422</v>
      </c>
      <c r="I214" s="3" t="s">
        <v>74</v>
      </c>
      <c r="J214" s="3">
        <v>0.1</v>
      </c>
      <c r="K214" s="3">
        <v>7.25</v>
      </c>
      <c r="L214" s="3">
        <v>0.33</v>
      </c>
      <c r="O214" s="3">
        <v>100</v>
      </c>
      <c r="P214" s="3">
        <v>18.156532687951202</v>
      </c>
      <c r="R214" s="3">
        <v>10</v>
      </c>
      <c r="S214" s="4">
        <v>45058</v>
      </c>
      <c r="T214" s="3" t="s">
        <v>282</v>
      </c>
      <c r="U214" s="3" t="s">
        <v>283</v>
      </c>
      <c r="V214" s="11" t="s">
        <v>84</v>
      </c>
      <c r="W214" s="11">
        <v>14</v>
      </c>
      <c r="X214" s="11" t="s">
        <v>92</v>
      </c>
      <c r="Y214" s="11">
        <v>14</v>
      </c>
      <c r="Z214">
        <v>7</v>
      </c>
      <c r="AA214" t="s">
        <v>92</v>
      </c>
      <c r="AB214" t="s">
        <v>284</v>
      </c>
      <c r="AC214" s="3" t="s">
        <v>78</v>
      </c>
      <c r="AD214" s="3">
        <v>6</v>
      </c>
      <c r="AE214">
        <v>7</v>
      </c>
      <c r="AF214" t="s">
        <v>92</v>
      </c>
      <c r="AG214" t="s">
        <v>706</v>
      </c>
      <c r="AH214" s="17" t="s">
        <v>707</v>
      </c>
      <c r="AI214" t="s">
        <v>672</v>
      </c>
      <c r="AJ214" s="18" t="s">
        <v>673</v>
      </c>
      <c r="AO214" s="10">
        <v>2.8413029999999999</v>
      </c>
      <c r="AP214" s="3">
        <v>37</v>
      </c>
      <c r="AQ214" s="3">
        <f t="shared" si="47"/>
        <v>105.12821099999999</v>
      </c>
      <c r="BE214" s="3" t="s">
        <v>79</v>
      </c>
      <c r="BF214" s="3" t="s">
        <v>80</v>
      </c>
      <c r="BG214" s="3" t="s">
        <v>416</v>
      </c>
      <c r="BH214" s="3">
        <f t="shared" si="46"/>
        <v>3</v>
      </c>
      <c r="BI214" s="3" t="str">
        <f t="shared" si="39"/>
        <v>H7</v>
      </c>
      <c r="BJ214" s="3">
        <v>2</v>
      </c>
      <c r="BK214" s="3" t="str">
        <f t="shared" si="40"/>
        <v>A1</v>
      </c>
      <c r="BL214" s="3">
        <v>1.5</v>
      </c>
      <c r="BM214" s="3">
        <v>1.5</v>
      </c>
      <c r="BN214" s="3">
        <f t="shared" si="41"/>
        <v>2.8413029999999999</v>
      </c>
      <c r="BO214" s="3">
        <f t="shared" si="42"/>
        <v>1.3413029999999999</v>
      </c>
      <c r="BP214" s="3" t="s">
        <v>419</v>
      </c>
      <c r="BQ214">
        <v>1</v>
      </c>
      <c r="BR214" t="s">
        <v>73</v>
      </c>
      <c r="BS214" s="3">
        <v>1</v>
      </c>
      <c r="BT214" s="3" t="s">
        <v>418</v>
      </c>
      <c r="BU214" s="3">
        <v>2</v>
      </c>
      <c r="BV214" s="3" t="str">
        <f t="shared" si="43"/>
        <v>A1</v>
      </c>
      <c r="BW214" s="3">
        <f t="shared" si="44"/>
        <v>1.3413029999999999</v>
      </c>
      <c r="BX214" s="21" t="s">
        <v>417</v>
      </c>
      <c r="BY214" s="3" t="str">
        <f t="shared" si="48"/>
        <v>Och-C_DilutionPlate</v>
      </c>
      <c r="BZ214" s="3" t="str">
        <f t="shared" si="49"/>
        <v>A1</v>
      </c>
      <c r="CA214" s="3" t="str">
        <f t="shared" si="50"/>
        <v>Och-C</v>
      </c>
      <c r="CC214" s="3">
        <v>1.5</v>
      </c>
      <c r="CD214" t="s">
        <v>605</v>
      </c>
      <c r="CE214" s="21" t="str">
        <f t="shared" si="45"/>
        <v>OcC0208807H</v>
      </c>
      <c r="CF214" s="21" t="str">
        <f t="shared" si="51"/>
        <v>Och-CCat_088-Ex1-7H-lcwgs-1-1</v>
      </c>
      <c r="CG214" s="3">
        <f t="shared" si="52"/>
        <v>0.7918901996724742</v>
      </c>
      <c r="CH214">
        <v>1316418</v>
      </c>
      <c r="CI214">
        <v>1043504</v>
      </c>
      <c r="CJ214" t="s">
        <v>185</v>
      </c>
      <c r="CK214" s="3">
        <v>0</v>
      </c>
      <c r="CL214"/>
      <c r="CM214" s="33"/>
    </row>
    <row r="215" spans="1:96" x14ac:dyDescent="0.55000000000000004">
      <c r="A215" t="s">
        <v>408</v>
      </c>
      <c r="B215" t="s">
        <v>409</v>
      </c>
      <c r="C215" s="3">
        <v>1</v>
      </c>
      <c r="E215" t="s">
        <v>329</v>
      </c>
      <c r="F215">
        <v>8</v>
      </c>
      <c r="G215" t="s">
        <v>88</v>
      </c>
      <c r="H215">
        <v>8.6988205201080007</v>
      </c>
      <c r="I215" s="3" t="s">
        <v>74</v>
      </c>
      <c r="J215" s="3">
        <v>0.1</v>
      </c>
      <c r="K215" s="3">
        <v>7.25</v>
      </c>
      <c r="L215" s="3">
        <v>0.33</v>
      </c>
      <c r="O215" s="3">
        <v>100</v>
      </c>
      <c r="P215" s="3">
        <v>11.495811388318936</v>
      </c>
      <c r="R215" s="3">
        <v>10</v>
      </c>
      <c r="S215" s="4">
        <v>45058</v>
      </c>
      <c r="T215" s="3" t="s">
        <v>282</v>
      </c>
      <c r="U215" s="3" t="s">
        <v>283</v>
      </c>
      <c r="V215" s="11" t="s">
        <v>84</v>
      </c>
      <c r="W215" s="11">
        <v>15</v>
      </c>
      <c r="X215" s="11" t="s">
        <v>92</v>
      </c>
      <c r="Y215" s="11">
        <v>15</v>
      </c>
      <c r="Z215">
        <v>8</v>
      </c>
      <c r="AA215" t="s">
        <v>91</v>
      </c>
      <c r="AB215" t="s">
        <v>284</v>
      </c>
      <c r="AC215" s="3" t="s">
        <v>78</v>
      </c>
      <c r="AD215" s="3">
        <v>6</v>
      </c>
      <c r="AE215">
        <v>8</v>
      </c>
      <c r="AF215" t="s">
        <v>91</v>
      </c>
      <c r="AG215" t="s">
        <v>650</v>
      </c>
      <c r="AH215" s="17" t="s">
        <v>651</v>
      </c>
      <c r="AI215" t="s">
        <v>674</v>
      </c>
      <c r="AJ215" s="18" t="s">
        <v>675</v>
      </c>
      <c r="AO215" s="10">
        <v>3.4865149999999998</v>
      </c>
      <c r="AP215" s="3">
        <v>37</v>
      </c>
      <c r="AQ215" s="3">
        <f t="shared" si="47"/>
        <v>129.00105499999998</v>
      </c>
      <c r="BE215" s="3" t="s">
        <v>79</v>
      </c>
      <c r="BF215" s="3" t="s">
        <v>80</v>
      </c>
      <c r="BG215" s="3" t="s">
        <v>416</v>
      </c>
      <c r="BH215" s="3">
        <f t="shared" si="46"/>
        <v>3</v>
      </c>
      <c r="BI215" s="3" t="str">
        <f t="shared" si="39"/>
        <v>G8</v>
      </c>
      <c r="BJ215" s="3">
        <v>23</v>
      </c>
      <c r="BK215" s="3" t="str">
        <f t="shared" si="40"/>
        <v>F3</v>
      </c>
      <c r="BL215" s="3">
        <v>1.5</v>
      </c>
      <c r="BM215" s="3">
        <v>1.5</v>
      </c>
      <c r="BN215" s="3">
        <f t="shared" si="41"/>
        <v>3.4865149999999994</v>
      </c>
      <c r="BO215" s="3">
        <f t="shared" si="42"/>
        <v>1.9865149999999994</v>
      </c>
      <c r="BP215" s="3" t="s">
        <v>419</v>
      </c>
      <c r="BQ215">
        <v>3</v>
      </c>
      <c r="BR215" t="s">
        <v>88</v>
      </c>
      <c r="BS215" s="3">
        <v>1</v>
      </c>
      <c r="BT215" s="3" t="s">
        <v>418</v>
      </c>
      <c r="BU215" s="3">
        <v>2</v>
      </c>
      <c r="BV215" s="3" t="str">
        <f t="shared" si="43"/>
        <v>F3</v>
      </c>
      <c r="BW215" s="3">
        <f t="shared" si="44"/>
        <v>1.9865149999999994</v>
      </c>
      <c r="BX215" s="21" t="s">
        <v>417</v>
      </c>
      <c r="BY215" s="3" t="str">
        <f t="shared" si="48"/>
        <v>Och-C_DilutionPlate</v>
      </c>
      <c r="BZ215" s="3" t="str">
        <f t="shared" si="49"/>
        <v>F3</v>
      </c>
      <c r="CA215" s="3" t="str">
        <f t="shared" si="50"/>
        <v>Och-C</v>
      </c>
      <c r="CC215" s="3">
        <v>1.5</v>
      </c>
      <c r="CD215" t="s">
        <v>612</v>
      </c>
      <c r="CE215" s="21" t="str">
        <f t="shared" si="45"/>
        <v>OcC0209008G</v>
      </c>
      <c r="CF215" s="21" t="str">
        <f t="shared" si="51"/>
        <v>Och-CCat_090-Ex1-8G-lcwgs-1-1</v>
      </c>
      <c r="CG215" s="3">
        <f t="shared" si="52"/>
        <v>0.64534355939957244</v>
      </c>
      <c r="CH215">
        <v>2238473</v>
      </c>
      <c r="CI215">
        <v>1803927</v>
      </c>
      <c r="CJ215" t="s">
        <v>79</v>
      </c>
      <c r="CK215" s="3">
        <v>22.300788913116378</v>
      </c>
      <c r="CL215" t="s">
        <v>1201</v>
      </c>
      <c r="CM215" s="33" t="s">
        <v>1805</v>
      </c>
      <c r="CN215" s="3" t="str">
        <f>B215&amp;"-"&amp;Z215&amp;AA215&amp;"-lcwgs-"&amp;C215&amp;"-2"</f>
        <v>Och-CCat_090-Ex1-8G-lcwgs-1-2</v>
      </c>
      <c r="CR215"/>
    </row>
    <row r="216" spans="1:96" x14ac:dyDescent="0.55000000000000004">
      <c r="A216" t="s">
        <v>392</v>
      </c>
      <c r="B216" t="s">
        <v>393</v>
      </c>
      <c r="C216" s="3">
        <v>1</v>
      </c>
      <c r="E216" t="s">
        <v>329</v>
      </c>
      <c r="F216">
        <v>9</v>
      </c>
      <c r="G216" t="s">
        <v>88</v>
      </c>
      <c r="H216">
        <v>5.019475628819098</v>
      </c>
      <c r="I216" s="3" t="s">
        <v>74</v>
      </c>
      <c r="J216" s="3">
        <v>0.1</v>
      </c>
      <c r="K216" s="3">
        <v>7.25</v>
      </c>
      <c r="L216" s="3">
        <v>0.33</v>
      </c>
      <c r="O216" s="3">
        <v>100</v>
      </c>
      <c r="P216" s="3">
        <v>19.922399747466528</v>
      </c>
      <c r="R216" s="3">
        <v>10</v>
      </c>
      <c r="S216" s="4">
        <v>45058</v>
      </c>
      <c r="T216" s="3" t="s">
        <v>282</v>
      </c>
      <c r="U216" s="3" t="s">
        <v>283</v>
      </c>
      <c r="V216" s="11" t="s">
        <v>84</v>
      </c>
      <c r="W216" s="11">
        <v>13</v>
      </c>
      <c r="X216" s="11" t="s">
        <v>92</v>
      </c>
      <c r="Y216" s="11">
        <v>13</v>
      </c>
      <c r="Z216">
        <v>7</v>
      </c>
      <c r="AA216" t="s">
        <v>91</v>
      </c>
      <c r="AB216" t="s">
        <v>284</v>
      </c>
      <c r="AC216" s="3" t="s">
        <v>78</v>
      </c>
      <c r="AD216" s="3">
        <v>6</v>
      </c>
      <c r="AE216">
        <v>7</v>
      </c>
      <c r="AF216" t="s">
        <v>91</v>
      </c>
      <c r="AG216" t="s">
        <v>650</v>
      </c>
      <c r="AH216" s="17" t="s">
        <v>651</v>
      </c>
      <c r="AI216" t="s">
        <v>672</v>
      </c>
      <c r="AJ216" s="18" t="s">
        <v>673</v>
      </c>
      <c r="AO216" s="10">
        <v>3.9285899999999998</v>
      </c>
      <c r="AP216" s="3">
        <v>37</v>
      </c>
      <c r="AQ216" s="3">
        <f t="shared" si="47"/>
        <v>145.35782999999998</v>
      </c>
      <c r="BE216" s="3" t="s">
        <v>79</v>
      </c>
      <c r="BF216" s="3" t="s">
        <v>80</v>
      </c>
      <c r="BG216" s="3" t="s">
        <v>416</v>
      </c>
      <c r="BH216" s="3">
        <f t="shared" si="46"/>
        <v>3</v>
      </c>
      <c r="BI216" s="3" t="str">
        <f t="shared" si="39"/>
        <v>G7</v>
      </c>
      <c r="BJ216" s="3">
        <v>38</v>
      </c>
      <c r="BK216" s="3" t="str">
        <f t="shared" si="40"/>
        <v>E5</v>
      </c>
      <c r="BL216" s="3">
        <v>1.5</v>
      </c>
      <c r="BM216" s="3">
        <v>1.5</v>
      </c>
      <c r="BN216" s="3">
        <f t="shared" si="41"/>
        <v>3.9285899999999998</v>
      </c>
      <c r="BO216" s="3">
        <f t="shared" si="42"/>
        <v>2.4285899999999998</v>
      </c>
      <c r="BP216" s="3" t="s">
        <v>419</v>
      </c>
      <c r="BQ216">
        <v>5</v>
      </c>
      <c r="BR216" t="s">
        <v>87</v>
      </c>
      <c r="BS216" s="3">
        <v>1</v>
      </c>
      <c r="BT216" s="3" t="s">
        <v>418</v>
      </c>
      <c r="BU216" s="3">
        <v>2</v>
      </c>
      <c r="BV216" s="3" t="str">
        <f t="shared" si="43"/>
        <v>E5</v>
      </c>
      <c r="BW216" s="3">
        <f t="shared" si="44"/>
        <v>2.4285899999999998</v>
      </c>
      <c r="BX216" s="21" t="s">
        <v>417</v>
      </c>
      <c r="BY216" s="3" t="str">
        <f t="shared" si="48"/>
        <v>Och-C_DilutionPlate</v>
      </c>
      <c r="BZ216" s="3" t="str">
        <f t="shared" si="49"/>
        <v>E5</v>
      </c>
      <c r="CA216" s="3" t="str">
        <f t="shared" si="50"/>
        <v>Och-C</v>
      </c>
      <c r="CC216" s="3">
        <v>1.5</v>
      </c>
      <c r="CD216" t="s">
        <v>604</v>
      </c>
      <c r="CE216" s="21" t="str">
        <f t="shared" si="45"/>
        <v>OcC0209107G</v>
      </c>
      <c r="CF216" s="21" t="str">
        <f t="shared" si="51"/>
        <v>Och-CCat_091-Ex1-7G-lcwgs-1-1</v>
      </c>
      <c r="CG216" s="3">
        <f t="shared" si="52"/>
        <v>0.57272456530205496</v>
      </c>
      <c r="CH216">
        <v>1380235</v>
      </c>
      <c r="CI216">
        <v>1102450</v>
      </c>
      <c r="CJ216" t="s">
        <v>185</v>
      </c>
      <c r="CK216" s="3">
        <v>0</v>
      </c>
      <c r="CL216"/>
      <c r="CM216" s="33"/>
    </row>
    <row r="217" spans="1:96" x14ac:dyDescent="0.55000000000000004">
      <c r="A217" t="s">
        <v>406</v>
      </c>
      <c r="B217" t="s">
        <v>407</v>
      </c>
      <c r="C217" s="3">
        <v>1</v>
      </c>
      <c r="E217" t="s">
        <v>329</v>
      </c>
      <c r="F217">
        <v>10</v>
      </c>
      <c r="G217" t="s">
        <v>88</v>
      </c>
      <c r="H217">
        <v>6.9164558760835577</v>
      </c>
      <c r="I217" s="3" t="s">
        <v>74</v>
      </c>
      <c r="J217" s="3">
        <v>0.1</v>
      </c>
      <c r="K217" s="3">
        <v>7.25</v>
      </c>
      <c r="L217" s="3">
        <v>0.33</v>
      </c>
      <c r="O217" s="3">
        <v>100</v>
      </c>
      <c r="P217" s="3">
        <v>14.458271951938626</v>
      </c>
      <c r="R217" s="3">
        <v>10</v>
      </c>
      <c r="S217" s="4">
        <v>45058</v>
      </c>
      <c r="T217" s="3" t="s">
        <v>282</v>
      </c>
      <c r="U217" s="3" t="s">
        <v>283</v>
      </c>
      <c r="V217" s="11" t="s">
        <v>83</v>
      </c>
      <c r="W217" s="11">
        <v>16</v>
      </c>
      <c r="X217" s="11" t="s">
        <v>91</v>
      </c>
      <c r="Y217" s="11">
        <v>16</v>
      </c>
      <c r="Z217">
        <v>8</v>
      </c>
      <c r="AA217" t="s">
        <v>88</v>
      </c>
      <c r="AB217" t="s">
        <v>284</v>
      </c>
      <c r="AC217" s="3" t="s">
        <v>78</v>
      </c>
      <c r="AD217" s="3">
        <v>6</v>
      </c>
      <c r="AE217">
        <v>8</v>
      </c>
      <c r="AF217" t="s">
        <v>88</v>
      </c>
      <c r="AG217" t="s">
        <v>648</v>
      </c>
      <c r="AH217" s="17" t="s">
        <v>649</v>
      </c>
      <c r="AI217" t="s">
        <v>674</v>
      </c>
      <c r="AJ217" s="18" t="s">
        <v>675</v>
      </c>
      <c r="AO217" s="10">
        <v>4.8596820000000003</v>
      </c>
      <c r="AP217" s="3">
        <v>37</v>
      </c>
      <c r="AQ217" s="3">
        <f t="shared" si="47"/>
        <v>179.808234</v>
      </c>
      <c r="BE217" s="3" t="s">
        <v>79</v>
      </c>
      <c r="BF217" s="3" t="s">
        <v>80</v>
      </c>
      <c r="BG217" s="3" t="s">
        <v>416</v>
      </c>
      <c r="BH217" s="3">
        <f t="shared" si="46"/>
        <v>3</v>
      </c>
      <c r="BI217" s="3" t="str">
        <f t="shared" si="39"/>
        <v>F8</v>
      </c>
      <c r="BJ217" s="3">
        <v>62</v>
      </c>
      <c r="BK217" s="3" t="str">
        <f t="shared" si="40"/>
        <v>E8</v>
      </c>
      <c r="BL217" s="3">
        <v>1.5</v>
      </c>
      <c r="BM217" s="3">
        <v>1.5</v>
      </c>
      <c r="BN217" s="3">
        <f t="shared" si="41"/>
        <v>4.8596820000000003</v>
      </c>
      <c r="BO217" s="3">
        <f t="shared" si="42"/>
        <v>3.3596820000000003</v>
      </c>
      <c r="BP217" s="3" t="s">
        <v>419</v>
      </c>
      <c r="BQ217">
        <v>8</v>
      </c>
      <c r="BR217" t="s">
        <v>87</v>
      </c>
      <c r="BS217" s="3">
        <v>1</v>
      </c>
      <c r="BT217" s="3" t="s">
        <v>418</v>
      </c>
      <c r="BU217" s="3">
        <v>2</v>
      </c>
      <c r="BV217" s="3" t="str">
        <f t="shared" si="43"/>
        <v>E8</v>
      </c>
      <c r="BW217" s="3">
        <f t="shared" si="44"/>
        <v>3.3596820000000003</v>
      </c>
      <c r="BX217" s="21" t="s">
        <v>417</v>
      </c>
      <c r="BY217" s="3" t="str">
        <f t="shared" si="48"/>
        <v>Och-C_DilutionPlate</v>
      </c>
      <c r="BZ217" s="3" t="str">
        <f t="shared" si="49"/>
        <v>E8</v>
      </c>
      <c r="CA217" s="3" t="str">
        <f t="shared" si="50"/>
        <v>Och-C</v>
      </c>
      <c r="CC217" s="3">
        <v>1.5</v>
      </c>
      <c r="CD217" t="s">
        <v>611</v>
      </c>
      <c r="CE217" s="21" t="str">
        <f t="shared" si="45"/>
        <v>OcC0209208F</v>
      </c>
      <c r="CF217" s="21" t="str">
        <f t="shared" si="51"/>
        <v>Och-CCat_092-Ex1-8F-lcwgs-1-1</v>
      </c>
      <c r="CG217" s="3">
        <f t="shared" si="52"/>
        <v>0.46299325758352083</v>
      </c>
      <c r="CH217">
        <v>2597618</v>
      </c>
      <c r="CI217">
        <v>2071450</v>
      </c>
      <c r="CJ217" t="s">
        <v>79</v>
      </c>
      <c r="CK217" s="3">
        <v>13.835193828220968</v>
      </c>
      <c r="CL217" t="s">
        <v>1201</v>
      </c>
      <c r="CM217" s="33" t="s">
        <v>1806</v>
      </c>
      <c r="CN217" s="3" t="str">
        <f t="shared" ref="CN217:CN248" si="53">B217&amp;"-"&amp;Z217&amp;AA217&amp;"-lcwgs-"&amp;C217&amp;"-2"</f>
        <v>Och-CCat_092-Ex1-8F-lcwgs-1-2</v>
      </c>
      <c r="CR217"/>
    </row>
    <row r="218" spans="1:96" x14ac:dyDescent="0.55000000000000004">
      <c r="A218" t="s">
        <v>338</v>
      </c>
      <c r="B218" t="s">
        <v>339</v>
      </c>
      <c r="C218" s="3">
        <v>1</v>
      </c>
      <c r="E218" t="s">
        <v>329</v>
      </c>
      <c r="F218">
        <v>12</v>
      </c>
      <c r="G218" t="s">
        <v>88</v>
      </c>
      <c r="H218">
        <v>1.8839704419496943</v>
      </c>
      <c r="I218" s="3" t="s">
        <v>74</v>
      </c>
      <c r="J218" s="3">
        <v>0.1</v>
      </c>
      <c r="K218" s="3">
        <v>7.25</v>
      </c>
      <c r="L218" s="3">
        <v>0.33</v>
      </c>
      <c r="O218" s="3">
        <v>84.778669887736243</v>
      </c>
      <c r="P218" s="3">
        <v>45</v>
      </c>
      <c r="R218" s="3">
        <v>10</v>
      </c>
      <c r="S218" s="4">
        <v>45058</v>
      </c>
      <c r="T218" s="3" t="s">
        <v>282</v>
      </c>
      <c r="U218" s="3" t="s">
        <v>283</v>
      </c>
      <c r="V218" s="11" t="s">
        <v>76</v>
      </c>
      <c r="W218" s="11">
        <v>8</v>
      </c>
      <c r="X218" s="11" t="s">
        <v>88</v>
      </c>
      <c r="Y218" s="11">
        <v>8</v>
      </c>
      <c r="Z218">
        <v>4</v>
      </c>
      <c r="AA218" t="s">
        <v>84</v>
      </c>
      <c r="AB218" t="s">
        <v>284</v>
      </c>
      <c r="AC218" s="3" t="s">
        <v>78</v>
      </c>
      <c r="AD218" s="3">
        <v>6</v>
      </c>
      <c r="AE218">
        <v>4</v>
      </c>
      <c r="AF218" t="s">
        <v>84</v>
      </c>
      <c r="AG218" t="s">
        <v>644</v>
      </c>
      <c r="AH218" s="17" t="s">
        <v>645</v>
      </c>
      <c r="AI218" t="s">
        <v>698</v>
      </c>
      <c r="AJ218" s="18" t="s">
        <v>699</v>
      </c>
      <c r="AO218" s="10">
        <v>4.1427050000000003</v>
      </c>
      <c r="AP218" s="3">
        <v>37</v>
      </c>
      <c r="AQ218" s="3">
        <f t="shared" si="47"/>
        <v>153.28008500000001</v>
      </c>
      <c r="BE218" s="3" t="s">
        <v>79</v>
      </c>
      <c r="BF218" s="3" t="s">
        <v>80</v>
      </c>
      <c r="BG218" s="3" t="s">
        <v>416</v>
      </c>
      <c r="BH218" s="3">
        <f t="shared" si="46"/>
        <v>3</v>
      </c>
      <c r="BI218" s="3" t="str">
        <f t="shared" si="39"/>
        <v>D4</v>
      </c>
      <c r="BJ218" s="3">
        <v>47</v>
      </c>
      <c r="BK218" s="3" t="str">
        <f t="shared" si="40"/>
        <v>F6</v>
      </c>
      <c r="BL218" s="3">
        <v>1.5</v>
      </c>
      <c r="BM218" s="3">
        <v>1.5</v>
      </c>
      <c r="BN218" s="3">
        <f t="shared" si="41"/>
        <v>4.1427050000000003</v>
      </c>
      <c r="BO218" s="3">
        <f t="shared" si="42"/>
        <v>2.6427050000000003</v>
      </c>
      <c r="BP218" s="3" t="s">
        <v>419</v>
      </c>
      <c r="BQ218">
        <v>6</v>
      </c>
      <c r="BR218" t="s">
        <v>88</v>
      </c>
      <c r="BS218" s="3">
        <v>1</v>
      </c>
      <c r="BT218" s="3" t="s">
        <v>418</v>
      </c>
      <c r="BU218" s="3">
        <v>2</v>
      </c>
      <c r="BV218" s="3" t="str">
        <f t="shared" si="43"/>
        <v>F6</v>
      </c>
      <c r="BW218" s="3">
        <f t="shared" si="44"/>
        <v>2.6427050000000003</v>
      </c>
      <c r="BX218" s="21" t="s">
        <v>417</v>
      </c>
      <c r="BY218" s="3" t="str">
        <f t="shared" si="48"/>
        <v>Och-C_DilutionPlate</v>
      </c>
      <c r="BZ218" s="3" t="str">
        <f t="shared" si="49"/>
        <v>F6</v>
      </c>
      <c r="CA218" s="3" t="str">
        <f t="shared" si="50"/>
        <v>Och-C</v>
      </c>
      <c r="CC218" s="3">
        <v>1.5</v>
      </c>
      <c r="CD218" t="s">
        <v>578</v>
      </c>
      <c r="CE218" s="21" t="str">
        <f t="shared" si="45"/>
        <v>OcC0209404D</v>
      </c>
      <c r="CF218" s="21" t="str">
        <f t="shared" si="51"/>
        <v>Och-CCat_094-Ex1-4D-lcwgs-1-1</v>
      </c>
      <c r="CG218" s="3">
        <f t="shared" si="52"/>
        <v>0.54312339401429743</v>
      </c>
      <c r="CH218">
        <v>2618119</v>
      </c>
      <c r="CI218">
        <v>2064442</v>
      </c>
      <c r="CJ218" t="s">
        <v>79</v>
      </c>
      <c r="CK218" s="3">
        <v>16.287760640002354</v>
      </c>
      <c r="CL218" t="s">
        <v>1201</v>
      </c>
      <c r="CM218" s="33" t="s">
        <v>1807</v>
      </c>
      <c r="CN218" s="3" t="str">
        <f t="shared" si="53"/>
        <v>Och-CCat_094-Ex1-4D-lcwgs-1-2</v>
      </c>
      <c r="CR218"/>
    </row>
    <row r="219" spans="1:96" x14ac:dyDescent="0.55000000000000004">
      <c r="A219" t="s">
        <v>382</v>
      </c>
      <c r="B219" t="s">
        <v>383</v>
      </c>
      <c r="C219" s="3">
        <v>1</v>
      </c>
      <c r="E219" t="s">
        <v>329</v>
      </c>
      <c r="F219">
        <v>1</v>
      </c>
      <c r="G219" t="s">
        <v>91</v>
      </c>
      <c r="H219">
        <v>3.7981561745061816</v>
      </c>
      <c r="I219" s="3" t="s">
        <v>74</v>
      </c>
      <c r="J219" s="3">
        <v>0.1</v>
      </c>
      <c r="K219" s="3">
        <v>7.25</v>
      </c>
      <c r="L219" s="3">
        <v>0.33</v>
      </c>
      <c r="O219" s="3">
        <v>100</v>
      </c>
      <c r="P219" s="3">
        <v>26.328564546980886</v>
      </c>
      <c r="R219" s="3">
        <v>10</v>
      </c>
      <c r="S219" s="4">
        <v>45058</v>
      </c>
      <c r="T219" s="3" t="s">
        <v>282</v>
      </c>
      <c r="U219" s="3" t="s">
        <v>283</v>
      </c>
      <c r="V219" s="11" t="s">
        <v>73</v>
      </c>
      <c r="W219" s="11">
        <v>14</v>
      </c>
      <c r="X219" s="11" t="s">
        <v>87</v>
      </c>
      <c r="Y219" s="11">
        <v>14</v>
      </c>
      <c r="Z219">
        <v>7</v>
      </c>
      <c r="AA219" t="s">
        <v>76</v>
      </c>
      <c r="AB219" t="s">
        <v>284</v>
      </c>
      <c r="AC219" s="3" t="s">
        <v>78</v>
      </c>
      <c r="AD219" s="3">
        <v>6</v>
      </c>
      <c r="AE219">
        <v>7</v>
      </c>
      <c r="AF219" t="s">
        <v>76</v>
      </c>
      <c r="AG219" t="s">
        <v>640</v>
      </c>
      <c r="AH219" s="17" t="s">
        <v>641</v>
      </c>
      <c r="AI219" t="s">
        <v>672</v>
      </c>
      <c r="AJ219" s="18" t="s">
        <v>673</v>
      </c>
      <c r="AO219" s="10">
        <v>3.9943599999999999</v>
      </c>
      <c r="AP219" s="3">
        <v>37</v>
      </c>
      <c r="AQ219" s="3">
        <f t="shared" si="47"/>
        <v>147.79131999999998</v>
      </c>
      <c r="BE219" s="3" t="s">
        <v>79</v>
      </c>
      <c r="BF219" s="3" t="s">
        <v>80</v>
      </c>
      <c r="BG219" s="3" t="s">
        <v>416</v>
      </c>
      <c r="BH219" s="3">
        <f t="shared" si="46"/>
        <v>3</v>
      </c>
      <c r="BI219" s="3" t="str">
        <f t="shared" si="39"/>
        <v>B7</v>
      </c>
      <c r="BJ219" s="3">
        <v>43</v>
      </c>
      <c r="BK219" s="3" t="str">
        <f t="shared" si="40"/>
        <v>B6</v>
      </c>
      <c r="BL219" s="3">
        <v>1.5</v>
      </c>
      <c r="BM219" s="3">
        <v>1.5</v>
      </c>
      <c r="BN219" s="3">
        <f t="shared" si="41"/>
        <v>3.9943599999999999</v>
      </c>
      <c r="BO219" s="3">
        <f t="shared" si="42"/>
        <v>2.4943599999999999</v>
      </c>
      <c r="BP219" s="3" t="s">
        <v>419</v>
      </c>
      <c r="BQ219">
        <v>6</v>
      </c>
      <c r="BR219" t="s">
        <v>76</v>
      </c>
      <c r="BS219" s="3">
        <v>1</v>
      </c>
      <c r="BT219" s="3" t="s">
        <v>418</v>
      </c>
      <c r="BU219" s="3">
        <v>2</v>
      </c>
      <c r="BV219" s="3" t="str">
        <f t="shared" si="43"/>
        <v>B6</v>
      </c>
      <c r="BW219" s="3">
        <f t="shared" si="44"/>
        <v>2.4943599999999999</v>
      </c>
      <c r="BX219" s="21" t="s">
        <v>417</v>
      </c>
      <c r="BY219" s="3" t="str">
        <f t="shared" si="48"/>
        <v>Och-C_DilutionPlate</v>
      </c>
      <c r="BZ219" s="3" t="str">
        <f t="shared" si="49"/>
        <v>B6</v>
      </c>
      <c r="CA219" s="3" t="str">
        <f t="shared" si="50"/>
        <v>Och-C</v>
      </c>
      <c r="CC219" s="3">
        <v>1.5</v>
      </c>
      <c r="CD219" t="s">
        <v>599</v>
      </c>
      <c r="CE219" s="21" t="str">
        <f t="shared" si="45"/>
        <v>OcC0209507B</v>
      </c>
      <c r="CF219" s="21" t="str">
        <f t="shared" si="51"/>
        <v>Och-CCat_095-Ex1-7B-lcwgs-1-1</v>
      </c>
      <c r="CG219" s="3">
        <f t="shared" si="52"/>
        <v>0.56329424488528823</v>
      </c>
      <c r="CH219">
        <v>2819314</v>
      </c>
      <c r="CI219">
        <v>2218442</v>
      </c>
      <c r="CJ219" t="s">
        <v>79</v>
      </c>
      <c r="CK219" s="3">
        <v>15.655969030808578</v>
      </c>
      <c r="CL219" t="s">
        <v>1201</v>
      </c>
      <c r="CM219" s="33" t="s">
        <v>1808</v>
      </c>
      <c r="CN219" s="3" t="str">
        <f t="shared" si="53"/>
        <v>Och-CCat_095-Ex1-7B-lcwgs-1-2</v>
      </c>
      <c r="CR219"/>
    </row>
    <row r="220" spans="1:96" x14ac:dyDescent="0.55000000000000004">
      <c r="A220" t="s">
        <v>366</v>
      </c>
      <c r="B220" t="s">
        <v>367</v>
      </c>
      <c r="C220" s="3">
        <v>1</v>
      </c>
      <c r="E220" t="s">
        <v>329</v>
      </c>
      <c r="F220">
        <v>2</v>
      </c>
      <c r="G220" t="s">
        <v>91</v>
      </c>
      <c r="H220">
        <v>3.0278634361233476</v>
      </c>
      <c r="I220" s="3" t="s">
        <v>74</v>
      </c>
      <c r="J220" s="3">
        <v>0.1</v>
      </c>
      <c r="K220" s="3">
        <v>7.25</v>
      </c>
      <c r="L220" s="3">
        <v>0.33</v>
      </c>
      <c r="O220" s="3">
        <v>100</v>
      </c>
      <c r="P220" s="3">
        <v>33.026588586185582</v>
      </c>
      <c r="R220" s="3">
        <v>10</v>
      </c>
      <c r="S220" s="4">
        <v>45058</v>
      </c>
      <c r="T220" s="3" t="s">
        <v>282</v>
      </c>
      <c r="U220" s="3" t="s">
        <v>283</v>
      </c>
      <c r="V220" s="11" t="s">
        <v>73</v>
      </c>
      <c r="W220" s="11">
        <v>12</v>
      </c>
      <c r="X220" s="11" t="s">
        <v>87</v>
      </c>
      <c r="Y220" s="11">
        <v>12</v>
      </c>
      <c r="Z220">
        <v>6</v>
      </c>
      <c r="AA220" t="s">
        <v>76</v>
      </c>
      <c r="AB220" t="s">
        <v>284</v>
      </c>
      <c r="AC220" s="3" t="s">
        <v>78</v>
      </c>
      <c r="AD220" s="3">
        <v>6</v>
      </c>
      <c r="AE220">
        <v>6</v>
      </c>
      <c r="AF220" t="s">
        <v>76</v>
      </c>
      <c r="AG220" t="s">
        <v>640</v>
      </c>
      <c r="AH220" s="17" t="s">
        <v>641</v>
      </c>
      <c r="AI220" t="s">
        <v>670</v>
      </c>
      <c r="AJ220" s="18" t="s">
        <v>671</v>
      </c>
      <c r="AO220" s="10">
        <v>4.1930719999999999</v>
      </c>
      <c r="AP220" s="3">
        <v>37</v>
      </c>
      <c r="AQ220" s="3">
        <f t="shared" si="47"/>
        <v>155.143664</v>
      </c>
      <c r="BE220" s="3" t="s">
        <v>79</v>
      </c>
      <c r="BF220" s="3" t="s">
        <v>80</v>
      </c>
      <c r="BG220" s="3" t="s">
        <v>416</v>
      </c>
      <c r="BH220" s="3">
        <f t="shared" si="46"/>
        <v>3</v>
      </c>
      <c r="BI220" s="3" t="str">
        <f t="shared" ref="BI220:BI243" si="54">AA220&amp;Z220</f>
        <v>B6</v>
      </c>
      <c r="BJ220" s="3">
        <v>49</v>
      </c>
      <c r="BK220" s="3" t="str">
        <f t="shared" ref="BK220:BK243" si="55">BR220&amp;BQ220</f>
        <v>H6</v>
      </c>
      <c r="BL220" s="3">
        <v>1.5</v>
      </c>
      <c r="BM220" s="3">
        <v>1.5</v>
      </c>
      <c r="BN220" s="3">
        <f t="shared" ref="BN220:BN251" si="56">AO220*BL220/BM220</f>
        <v>4.1930719999999999</v>
      </c>
      <c r="BO220" s="3">
        <f t="shared" ref="BO220:BO251" si="57">BN220-BL220</f>
        <v>2.6930719999999999</v>
      </c>
      <c r="BP220" s="3" t="s">
        <v>419</v>
      </c>
      <c r="BQ220">
        <v>6</v>
      </c>
      <c r="BR220" t="s">
        <v>92</v>
      </c>
      <c r="BS220" s="3">
        <v>1</v>
      </c>
      <c r="BT220" s="3" t="s">
        <v>418</v>
      </c>
      <c r="BU220" s="3">
        <v>2</v>
      </c>
      <c r="BV220" s="3" t="str">
        <f t="shared" ref="BV220:BV243" si="58">BR220&amp;BQ220</f>
        <v>H6</v>
      </c>
      <c r="BW220" s="3">
        <f t="shared" ref="BW220:BW243" si="59">BO220</f>
        <v>2.6930719999999999</v>
      </c>
      <c r="BX220" s="21" t="s">
        <v>417</v>
      </c>
      <c r="BY220" s="3" t="str">
        <f t="shared" si="48"/>
        <v>Och-C_DilutionPlate</v>
      </c>
      <c r="BZ220" s="3" t="str">
        <f t="shared" si="49"/>
        <v>H6</v>
      </c>
      <c r="CA220" s="3" t="str">
        <f t="shared" si="50"/>
        <v>Och-C</v>
      </c>
      <c r="CC220" s="3">
        <v>1.5</v>
      </c>
      <c r="CD220" t="s">
        <v>592</v>
      </c>
      <c r="CE220" s="21" t="str">
        <f t="shared" si="45"/>
        <v>OcC0209606B</v>
      </c>
      <c r="CF220" s="21" t="str">
        <f t="shared" si="51"/>
        <v>Och-CCat_096-Ex1-6B-lcwgs-1-1</v>
      </c>
      <c r="CG220" s="3">
        <f t="shared" si="52"/>
        <v>0.53659941923248633</v>
      </c>
      <c r="CH220">
        <v>1876224</v>
      </c>
      <c r="CI220">
        <v>1465792</v>
      </c>
      <c r="CJ220" t="s">
        <v>79</v>
      </c>
      <c r="CK220" s="3">
        <v>23.023274120388056</v>
      </c>
      <c r="CL220" t="s">
        <v>1201</v>
      </c>
      <c r="CM220" s="33" t="s">
        <v>1809</v>
      </c>
      <c r="CN220" s="3" t="str">
        <f t="shared" si="53"/>
        <v>Och-CCat_096-Ex1-6B-lcwgs-1-2</v>
      </c>
      <c r="CR220"/>
    </row>
    <row r="221" spans="1:96" x14ac:dyDescent="0.55000000000000004">
      <c r="A221" s="9" t="s">
        <v>70</v>
      </c>
      <c r="B221" s="9" t="s">
        <v>71</v>
      </c>
      <c r="C221" s="3">
        <v>1</v>
      </c>
      <c r="E221" t="s">
        <v>72</v>
      </c>
      <c r="F221" s="7">
        <v>1</v>
      </c>
      <c r="G221" s="5" t="s">
        <v>73</v>
      </c>
      <c r="H221" s="3">
        <v>6.7696209386281598</v>
      </c>
      <c r="I221" s="3" t="s">
        <v>74</v>
      </c>
      <c r="J221" s="3">
        <v>0.1</v>
      </c>
      <c r="K221" s="3">
        <v>7.25</v>
      </c>
      <c r="L221" s="3">
        <v>0.33</v>
      </c>
      <c r="O221" s="3">
        <v>100</v>
      </c>
      <c r="P221" s="3">
        <v>14.771875841583629</v>
      </c>
      <c r="R221" s="3">
        <v>10</v>
      </c>
      <c r="S221" s="4">
        <v>44949</v>
      </c>
      <c r="T221" s="4"/>
      <c r="U221" s="3" t="s">
        <v>75</v>
      </c>
      <c r="V221" s="10" t="s">
        <v>73</v>
      </c>
      <c r="W221" s="10">
        <v>5</v>
      </c>
      <c r="X221" s="10" t="s">
        <v>76</v>
      </c>
      <c r="Y221" s="10">
        <v>5</v>
      </c>
      <c r="Z221">
        <v>5</v>
      </c>
      <c r="AA221" t="s">
        <v>73</v>
      </c>
      <c r="AB221" t="s">
        <v>77</v>
      </c>
      <c r="AC221" s="3" t="s">
        <v>78</v>
      </c>
      <c r="AD221" s="3">
        <v>4</v>
      </c>
      <c r="AE221">
        <v>5</v>
      </c>
      <c r="AF221" t="s">
        <v>73</v>
      </c>
      <c r="AG221" t="s">
        <v>652</v>
      </c>
      <c r="AH221" s="17" t="s">
        <v>653</v>
      </c>
      <c r="AI221" t="s">
        <v>654</v>
      </c>
      <c r="AJ221" s="18" t="s">
        <v>655</v>
      </c>
      <c r="AO221" s="3">
        <v>5.9101563386353835</v>
      </c>
      <c r="AP221" s="3">
        <v>37</v>
      </c>
      <c r="AQ221" s="3">
        <f t="shared" si="47"/>
        <v>218.6757845295092</v>
      </c>
      <c r="BE221" s="3" t="s">
        <v>79</v>
      </c>
      <c r="BF221" s="3" t="s">
        <v>80</v>
      </c>
      <c r="BG221" s="3" t="s">
        <v>416</v>
      </c>
      <c r="BH221" s="3">
        <f t="shared" si="46"/>
        <v>2</v>
      </c>
      <c r="BI221" s="3" t="str">
        <f t="shared" si="54"/>
        <v>A5</v>
      </c>
      <c r="BJ221" s="3">
        <v>78</v>
      </c>
      <c r="BK221" s="3" t="str">
        <f t="shared" si="55"/>
        <v>E10</v>
      </c>
      <c r="BL221" s="3">
        <v>1.5</v>
      </c>
      <c r="BM221" s="3">
        <v>1.5</v>
      </c>
      <c r="BN221" s="3">
        <f t="shared" si="56"/>
        <v>5.9101563386353844</v>
      </c>
      <c r="BO221" s="3">
        <f t="shared" si="57"/>
        <v>4.4101563386353844</v>
      </c>
      <c r="BP221" s="3" t="s">
        <v>419</v>
      </c>
      <c r="BQ221">
        <v>10</v>
      </c>
      <c r="BR221" t="s">
        <v>87</v>
      </c>
      <c r="BS221" s="3">
        <v>1</v>
      </c>
      <c r="BT221" s="3" t="s">
        <v>418</v>
      </c>
      <c r="BU221" s="3">
        <v>2</v>
      </c>
      <c r="BV221" s="3" t="str">
        <f t="shared" si="58"/>
        <v>E10</v>
      </c>
      <c r="BW221" s="3">
        <f t="shared" si="59"/>
        <v>4.4101563386353844</v>
      </c>
      <c r="BX221" s="21" t="s">
        <v>417</v>
      </c>
      <c r="BY221" s="3" t="str">
        <f t="shared" si="48"/>
        <v>Och-C_DilutionPlate</v>
      </c>
      <c r="BZ221" s="3" t="str">
        <f t="shared" si="49"/>
        <v>E10</v>
      </c>
      <c r="CA221" s="3" t="str">
        <f t="shared" si="50"/>
        <v>Och-C</v>
      </c>
      <c r="CC221" s="3">
        <v>1.5</v>
      </c>
      <c r="CD221" s="9" t="s">
        <v>501</v>
      </c>
      <c r="CE221" s="21" t="str">
        <f t="shared" si="45"/>
        <v>OcC0800105A</v>
      </c>
      <c r="CF221" s="21" t="str">
        <f t="shared" si="51"/>
        <v>Och-CTum_001-Ex1-5A-lcwgs-1-1</v>
      </c>
      <c r="CG221" s="3">
        <f t="shared" si="52"/>
        <v>0.38070058913526306</v>
      </c>
      <c r="CH221">
        <v>550522</v>
      </c>
      <c r="CI221">
        <v>452738</v>
      </c>
      <c r="CJ221" t="s">
        <v>79</v>
      </c>
      <c r="CK221" s="3">
        <v>0.27141110546592473</v>
      </c>
      <c r="CL221" t="s">
        <v>1202</v>
      </c>
      <c r="CM221" s="33" t="s">
        <v>1810</v>
      </c>
      <c r="CN221" s="3" t="str">
        <f t="shared" si="53"/>
        <v>Och-CTum_001-Ex1-5A-lcwgs-1-2</v>
      </c>
      <c r="CR221"/>
    </row>
    <row r="222" spans="1:96" x14ac:dyDescent="0.55000000000000004">
      <c r="A222" s="9" t="s">
        <v>81</v>
      </c>
      <c r="B222" s="9" t="s">
        <v>82</v>
      </c>
      <c r="C222" s="3">
        <v>1</v>
      </c>
      <c r="E222" t="s">
        <v>72</v>
      </c>
      <c r="F222" s="7">
        <v>2</v>
      </c>
      <c r="G222" s="5" t="s">
        <v>73</v>
      </c>
      <c r="H222" s="3">
        <v>2.408375451263538</v>
      </c>
      <c r="I222" s="3" t="s">
        <v>74</v>
      </c>
      <c r="J222" s="3">
        <v>0.1</v>
      </c>
      <c r="K222" s="3">
        <v>7.25</v>
      </c>
      <c r="L222" s="3">
        <v>0.33</v>
      </c>
      <c r="O222" s="3">
        <v>100</v>
      </c>
      <c r="P222" s="3">
        <v>41.521765199664223</v>
      </c>
      <c r="R222" s="3">
        <v>10</v>
      </c>
      <c r="S222" s="4">
        <v>44949</v>
      </c>
      <c r="T222" s="4"/>
      <c r="U222" s="3" t="s">
        <v>75</v>
      </c>
      <c r="V222" s="10" t="s">
        <v>83</v>
      </c>
      <c r="W222" s="10">
        <v>5</v>
      </c>
      <c r="X222" s="10" t="s">
        <v>84</v>
      </c>
      <c r="Y222" s="10">
        <v>5</v>
      </c>
      <c r="Z222">
        <v>5</v>
      </c>
      <c r="AA222" t="s">
        <v>76</v>
      </c>
      <c r="AB222" t="s">
        <v>77</v>
      </c>
      <c r="AC222" s="3" t="s">
        <v>78</v>
      </c>
      <c r="AD222" s="3">
        <v>4</v>
      </c>
      <c r="AE222">
        <v>5</v>
      </c>
      <c r="AF222" t="s">
        <v>76</v>
      </c>
      <c r="AG222" t="s">
        <v>656</v>
      </c>
      <c r="AH222" s="17" t="s">
        <v>657</v>
      </c>
      <c r="AI222" t="s">
        <v>654</v>
      </c>
      <c r="AJ222" s="18" t="s">
        <v>655</v>
      </c>
      <c r="AO222" s="3">
        <v>2.3654046878899959</v>
      </c>
      <c r="AP222" s="3">
        <v>37</v>
      </c>
      <c r="AQ222" s="3">
        <f t="shared" si="47"/>
        <v>87.519973451929843</v>
      </c>
      <c r="BE222" s="3" t="s">
        <v>79</v>
      </c>
      <c r="BF222" s="3" t="s">
        <v>80</v>
      </c>
      <c r="BG222" s="3" t="s">
        <v>416</v>
      </c>
      <c r="BH222" s="3">
        <f t="shared" ref="BH222:BH243" si="60">IF(AB222="PIRE-C_LibrariesforCapture_Jan2023-2",2,3)</f>
        <v>2</v>
      </c>
      <c r="BI222" s="3" t="str">
        <f t="shared" si="54"/>
        <v>B5</v>
      </c>
      <c r="BJ222" s="3">
        <v>1</v>
      </c>
      <c r="BK222" s="3" t="str">
        <f t="shared" si="55"/>
        <v>E7</v>
      </c>
      <c r="BL222" s="3">
        <v>1.5</v>
      </c>
      <c r="BM222" s="3">
        <v>1.5</v>
      </c>
      <c r="BN222" s="3">
        <f t="shared" si="56"/>
        <v>2.3654046878899959</v>
      </c>
      <c r="BO222" s="3">
        <f t="shared" si="57"/>
        <v>0.86540468788999592</v>
      </c>
      <c r="BP222" s="3" t="s">
        <v>420</v>
      </c>
      <c r="BQ222">
        <v>7</v>
      </c>
      <c r="BR222" t="s">
        <v>87</v>
      </c>
      <c r="BS222" s="3">
        <v>1</v>
      </c>
      <c r="BT222" s="3" t="s">
        <v>418</v>
      </c>
      <c r="BU222" s="3">
        <v>1</v>
      </c>
      <c r="BV222" s="3" t="str">
        <f t="shared" si="58"/>
        <v>E7</v>
      </c>
      <c r="BW222" s="3">
        <f t="shared" si="59"/>
        <v>0.86540468788999592</v>
      </c>
      <c r="BX222" s="21" t="s">
        <v>417</v>
      </c>
      <c r="BY222" s="3" t="str">
        <f t="shared" si="48"/>
        <v>Och-Mixed_Dilution Plate</v>
      </c>
      <c r="BZ222" s="3" t="str">
        <f t="shared" si="49"/>
        <v>E7</v>
      </c>
      <c r="CA222" s="3" t="str">
        <f t="shared" si="50"/>
        <v>Och-C</v>
      </c>
      <c r="CC222" s="3">
        <v>1.5</v>
      </c>
      <c r="CD222" s="9" t="s">
        <v>502</v>
      </c>
      <c r="CE222" s="21" t="str">
        <f t="shared" si="45"/>
        <v>OcC0800205B</v>
      </c>
      <c r="CF222" s="21" t="str">
        <f t="shared" si="51"/>
        <v>Och-CTum_002-Ex1-5B-lcwgs-1-1</v>
      </c>
      <c r="CG222" s="3">
        <f t="shared" si="52"/>
        <v>0.95121144027454352</v>
      </c>
      <c r="CH222">
        <v>278706</v>
      </c>
      <c r="CI222">
        <v>230788</v>
      </c>
      <c r="CJ222" t="s">
        <v>79</v>
      </c>
      <c r="CK222" s="3">
        <v>1.3375054437965579</v>
      </c>
      <c r="CL222" t="s">
        <v>1202</v>
      </c>
      <c r="CM222" s="33" t="s">
        <v>1811</v>
      </c>
      <c r="CN222" s="3" t="str">
        <f t="shared" si="53"/>
        <v>Och-CTum_002-Ex1-5B-lcwgs-1-2</v>
      </c>
      <c r="CR222"/>
    </row>
    <row r="223" spans="1:96" x14ac:dyDescent="0.55000000000000004">
      <c r="A223" s="9" t="s">
        <v>85</v>
      </c>
      <c r="B223" s="9" t="s">
        <v>86</v>
      </c>
      <c r="C223" s="3">
        <v>1</v>
      </c>
      <c r="E223" t="s">
        <v>72</v>
      </c>
      <c r="F223" s="7">
        <v>3</v>
      </c>
      <c r="G223" s="5" t="s">
        <v>73</v>
      </c>
      <c r="H223" s="3">
        <v>1.6470803249097474</v>
      </c>
      <c r="I223" s="3" t="s">
        <v>74</v>
      </c>
      <c r="J223" s="3">
        <v>0.1</v>
      </c>
      <c r="K223" s="3">
        <v>7.25</v>
      </c>
      <c r="L223" s="3">
        <v>0.33</v>
      </c>
      <c r="O223" s="3">
        <v>74.118614620938629</v>
      </c>
      <c r="P223" s="3">
        <v>45</v>
      </c>
      <c r="R223" s="3">
        <v>10</v>
      </c>
      <c r="S223" s="4">
        <v>44949</v>
      </c>
      <c r="T223" s="4"/>
      <c r="U223" s="3" t="s">
        <v>75</v>
      </c>
      <c r="V223" s="10" t="s">
        <v>87</v>
      </c>
      <c r="W223" s="10">
        <v>5</v>
      </c>
      <c r="X223" s="10" t="s">
        <v>88</v>
      </c>
      <c r="Y223" s="10">
        <v>5</v>
      </c>
      <c r="Z223">
        <v>5</v>
      </c>
      <c r="AA223" t="s">
        <v>83</v>
      </c>
      <c r="AB223" t="s">
        <v>77</v>
      </c>
      <c r="AC223" s="3" t="s">
        <v>78</v>
      </c>
      <c r="AD223" s="3">
        <v>4</v>
      </c>
      <c r="AE223">
        <v>5</v>
      </c>
      <c r="AF223" t="s">
        <v>83</v>
      </c>
      <c r="AG223" t="s">
        <v>658</v>
      </c>
      <c r="AH223" s="17" t="s">
        <v>659</v>
      </c>
      <c r="AI223" t="s">
        <v>654</v>
      </c>
      <c r="AJ223" s="18" t="s">
        <v>655</v>
      </c>
      <c r="AO223" s="3">
        <v>3.1499285244264934</v>
      </c>
      <c r="AP223" s="3">
        <v>37</v>
      </c>
      <c r="AQ223" s="3">
        <f t="shared" si="47"/>
        <v>116.54735540378026</v>
      </c>
      <c r="BE223" s="3" t="s">
        <v>79</v>
      </c>
      <c r="BF223" s="3" t="s">
        <v>80</v>
      </c>
      <c r="BG223" s="3" t="s">
        <v>416</v>
      </c>
      <c r="BH223" s="3">
        <f t="shared" si="60"/>
        <v>2</v>
      </c>
      <c r="BI223" s="3" t="str">
        <f t="shared" si="54"/>
        <v>C5</v>
      </c>
      <c r="BJ223" s="3">
        <v>14</v>
      </c>
      <c r="BK223" s="3" t="str">
        <f t="shared" si="55"/>
        <v>E2</v>
      </c>
      <c r="BL223" s="3">
        <v>1.5</v>
      </c>
      <c r="BM223" s="3">
        <v>1.5</v>
      </c>
      <c r="BN223" s="3">
        <f t="shared" si="56"/>
        <v>3.1499285244264938</v>
      </c>
      <c r="BO223" s="3">
        <f t="shared" si="57"/>
        <v>1.6499285244264938</v>
      </c>
      <c r="BP223" s="3" t="s">
        <v>419</v>
      </c>
      <c r="BQ223">
        <v>2</v>
      </c>
      <c r="BR223" t="s">
        <v>87</v>
      </c>
      <c r="BS223" s="3">
        <v>1</v>
      </c>
      <c r="BT223" s="3" t="s">
        <v>418</v>
      </c>
      <c r="BU223" s="3">
        <v>2</v>
      </c>
      <c r="BV223" s="3" t="str">
        <f t="shared" si="58"/>
        <v>E2</v>
      </c>
      <c r="BW223" s="3">
        <f t="shared" si="59"/>
        <v>1.6499285244264938</v>
      </c>
      <c r="BX223" s="21" t="s">
        <v>417</v>
      </c>
      <c r="BY223" s="3" t="str">
        <f t="shared" si="48"/>
        <v>Och-C_DilutionPlate</v>
      </c>
      <c r="BZ223" s="3" t="str">
        <f t="shared" si="49"/>
        <v>E2</v>
      </c>
      <c r="CA223" s="3" t="str">
        <f t="shared" si="50"/>
        <v>Och-C</v>
      </c>
      <c r="CC223" s="3">
        <v>1.5</v>
      </c>
      <c r="CD223" s="9" t="s">
        <v>503</v>
      </c>
      <c r="CE223" s="21" t="str">
        <f t="shared" si="45"/>
        <v>OcC0800305C</v>
      </c>
      <c r="CF223" s="21" t="str">
        <f t="shared" si="51"/>
        <v>Och-CTum_003-Ex1-5C-lcwgs-1-1</v>
      </c>
      <c r="CG223" s="3">
        <f t="shared" si="52"/>
        <v>0.714301922266524</v>
      </c>
      <c r="CH223">
        <v>1366778</v>
      </c>
      <c r="CI223">
        <v>1132089</v>
      </c>
      <c r="CJ223" t="s">
        <v>79</v>
      </c>
      <c r="CK223" s="3">
        <v>0.20028496372193968</v>
      </c>
      <c r="CL223" t="s">
        <v>1202</v>
      </c>
      <c r="CM223" s="33" t="s">
        <v>1812</v>
      </c>
      <c r="CN223" s="3" t="str">
        <f t="shared" si="53"/>
        <v>Och-CTum_003-Ex1-5C-lcwgs-1-2</v>
      </c>
      <c r="CR223"/>
    </row>
    <row r="224" spans="1:96" x14ac:dyDescent="0.55000000000000004">
      <c r="A224" s="9" t="s">
        <v>89</v>
      </c>
      <c r="B224" s="9" t="s">
        <v>90</v>
      </c>
      <c r="C224" s="3">
        <v>1</v>
      </c>
      <c r="E224" t="s">
        <v>72</v>
      </c>
      <c r="F224" s="7">
        <v>4</v>
      </c>
      <c r="G224" s="5" t="s">
        <v>73</v>
      </c>
      <c r="H224" s="3">
        <v>7.6259341155234655</v>
      </c>
      <c r="I224" s="3" t="s">
        <v>74</v>
      </c>
      <c r="J224" s="3">
        <v>0.1</v>
      </c>
      <c r="K224" s="3">
        <v>7.25</v>
      </c>
      <c r="L224" s="3">
        <v>0.33</v>
      </c>
      <c r="O224" s="3">
        <v>100</v>
      </c>
      <c r="P224" s="3">
        <v>13.113147646586469</v>
      </c>
      <c r="R224" s="3">
        <v>10</v>
      </c>
      <c r="S224" s="4">
        <v>44949</v>
      </c>
      <c r="T224" s="4"/>
      <c r="U224" s="3" t="s">
        <v>75</v>
      </c>
      <c r="V224" s="10" t="s">
        <v>91</v>
      </c>
      <c r="W224" s="10">
        <v>5</v>
      </c>
      <c r="X224" s="10" t="s">
        <v>92</v>
      </c>
      <c r="Y224" s="10">
        <v>5</v>
      </c>
      <c r="Z224">
        <v>5</v>
      </c>
      <c r="AA224" t="s">
        <v>84</v>
      </c>
      <c r="AB224" t="s">
        <v>77</v>
      </c>
      <c r="AC224" s="3" t="s">
        <v>78</v>
      </c>
      <c r="AD224" s="3">
        <v>4</v>
      </c>
      <c r="AE224">
        <v>5</v>
      </c>
      <c r="AF224" t="s">
        <v>84</v>
      </c>
      <c r="AG224" t="s">
        <v>660</v>
      </c>
      <c r="AH224" s="17" t="s">
        <v>661</v>
      </c>
      <c r="AI224" t="s">
        <v>654</v>
      </c>
      <c r="AJ224" s="18" t="s">
        <v>655</v>
      </c>
      <c r="AO224" s="3">
        <v>8.3760976605931354</v>
      </c>
      <c r="AP224" s="3">
        <v>37</v>
      </c>
      <c r="AQ224" s="3">
        <f t="shared" si="47"/>
        <v>309.91561344194599</v>
      </c>
      <c r="BE224" s="3" t="s">
        <v>79</v>
      </c>
      <c r="BF224" s="3" t="s">
        <v>80</v>
      </c>
      <c r="BG224" s="3" t="s">
        <v>416</v>
      </c>
      <c r="BH224" s="3">
        <f t="shared" si="60"/>
        <v>2</v>
      </c>
      <c r="BI224" s="3" t="str">
        <f t="shared" si="54"/>
        <v>D5</v>
      </c>
      <c r="BJ224" s="3">
        <v>96</v>
      </c>
      <c r="BK224" s="3" t="str">
        <f t="shared" si="55"/>
        <v>G12</v>
      </c>
      <c r="BL224" s="3">
        <v>1.5</v>
      </c>
      <c r="BM224" s="3">
        <v>1.5</v>
      </c>
      <c r="BN224" s="3">
        <f t="shared" si="56"/>
        <v>8.3760976605931354</v>
      </c>
      <c r="BO224" s="3">
        <f t="shared" si="57"/>
        <v>6.8760976605931354</v>
      </c>
      <c r="BP224" s="3" t="s">
        <v>419</v>
      </c>
      <c r="BQ224">
        <v>12</v>
      </c>
      <c r="BR224" t="s">
        <v>91</v>
      </c>
      <c r="BS224" s="3">
        <v>1</v>
      </c>
      <c r="BT224" s="3" t="s">
        <v>418</v>
      </c>
      <c r="BU224" s="3">
        <v>2</v>
      </c>
      <c r="BV224" s="3" t="str">
        <f t="shared" si="58"/>
        <v>G12</v>
      </c>
      <c r="BW224" s="3">
        <f t="shared" si="59"/>
        <v>6.8760976605931354</v>
      </c>
      <c r="BX224" s="21" t="s">
        <v>417</v>
      </c>
      <c r="BY224" s="3" t="str">
        <f t="shared" si="48"/>
        <v>Och-C_DilutionPlate</v>
      </c>
      <c r="BZ224" s="3" t="str">
        <f t="shared" si="49"/>
        <v>G12</v>
      </c>
      <c r="CA224" s="3" t="str">
        <f t="shared" si="50"/>
        <v>Och-C</v>
      </c>
      <c r="CC224" s="3">
        <v>1.5</v>
      </c>
      <c r="CD224" s="9" t="s">
        <v>504</v>
      </c>
      <c r="CE224" s="21" t="str">
        <f t="shared" si="45"/>
        <v>OcC0800405D</v>
      </c>
      <c r="CF224" s="21" t="str">
        <f t="shared" si="51"/>
        <v>Och-CTum_004-Ex1-5D-lcwgs-1-1</v>
      </c>
      <c r="CG224" s="3">
        <f t="shared" si="52"/>
        <v>0.26862150982139704</v>
      </c>
      <c r="CH224">
        <v>318715</v>
      </c>
      <c r="CI224">
        <v>256019</v>
      </c>
      <c r="CJ224" t="s">
        <v>79</v>
      </c>
      <c r="CK224" s="3">
        <v>0.34027876836863769</v>
      </c>
      <c r="CL224" t="s">
        <v>1202</v>
      </c>
      <c r="CM224" s="33" t="s">
        <v>1813</v>
      </c>
      <c r="CN224" s="3" t="str">
        <f t="shared" si="53"/>
        <v>Och-CTum_004-Ex1-5D-lcwgs-1-2</v>
      </c>
      <c r="CR224"/>
    </row>
    <row r="225" spans="1:96" x14ac:dyDescent="0.55000000000000004">
      <c r="A225" s="9" t="s">
        <v>93</v>
      </c>
      <c r="B225" s="9" t="s">
        <v>94</v>
      </c>
      <c r="C225" s="3">
        <v>1</v>
      </c>
      <c r="E225" t="s">
        <v>72</v>
      </c>
      <c r="F225" s="7">
        <v>5</v>
      </c>
      <c r="G225" s="5" t="s">
        <v>73</v>
      </c>
      <c r="H225" s="3">
        <v>3.4173871841155234</v>
      </c>
      <c r="I225" s="3" t="s">
        <v>74</v>
      </c>
      <c r="J225" s="3">
        <v>0.1</v>
      </c>
      <c r="K225" s="3">
        <v>7.25</v>
      </c>
      <c r="L225" s="3">
        <v>0.33</v>
      </c>
      <c r="O225" s="3">
        <v>100</v>
      </c>
      <c r="P225" s="3">
        <v>29.262121794338519</v>
      </c>
      <c r="R225" s="3">
        <v>10</v>
      </c>
      <c r="S225" s="4">
        <v>44949</v>
      </c>
      <c r="T225" s="4"/>
      <c r="U225" s="3" t="s">
        <v>75</v>
      </c>
      <c r="V225" s="10" t="s">
        <v>95</v>
      </c>
      <c r="W225" s="10">
        <v>5</v>
      </c>
      <c r="X225" s="10" t="s">
        <v>96</v>
      </c>
      <c r="Y225" s="10">
        <v>5</v>
      </c>
      <c r="Z225">
        <v>5</v>
      </c>
      <c r="AA225" t="s">
        <v>87</v>
      </c>
      <c r="AB225" t="s">
        <v>77</v>
      </c>
      <c r="AC225" s="3" t="s">
        <v>78</v>
      </c>
      <c r="AD225" s="3">
        <v>4</v>
      </c>
      <c r="AE225">
        <v>5</v>
      </c>
      <c r="AF225" t="s">
        <v>87</v>
      </c>
      <c r="AG225" t="s">
        <v>662</v>
      </c>
      <c r="AH225" s="17" t="s">
        <v>663</v>
      </c>
      <c r="AI225" t="s">
        <v>654</v>
      </c>
      <c r="AJ225" s="18" t="s">
        <v>655</v>
      </c>
      <c r="AO225" s="3">
        <v>4.2919833904381566</v>
      </c>
      <c r="AP225" s="3">
        <v>37</v>
      </c>
      <c r="AQ225" s="3">
        <f t="shared" si="47"/>
        <v>158.80338544621179</v>
      </c>
      <c r="BE225" s="3" t="s">
        <v>79</v>
      </c>
      <c r="BF225" s="3" t="s">
        <v>80</v>
      </c>
      <c r="BG225" s="3" t="s">
        <v>416</v>
      </c>
      <c r="BH225" s="3">
        <f t="shared" si="60"/>
        <v>2</v>
      </c>
      <c r="BI225" s="3" t="str">
        <f t="shared" si="54"/>
        <v>E5</v>
      </c>
      <c r="BJ225" s="3">
        <v>52</v>
      </c>
      <c r="BK225" s="3" t="str">
        <f t="shared" si="55"/>
        <v>C7</v>
      </c>
      <c r="BL225" s="3">
        <v>1.5</v>
      </c>
      <c r="BM225" s="3">
        <v>1.5</v>
      </c>
      <c r="BN225" s="3">
        <f t="shared" si="56"/>
        <v>4.2919833904381566</v>
      </c>
      <c r="BO225" s="3">
        <f t="shared" si="57"/>
        <v>2.7919833904381566</v>
      </c>
      <c r="BP225" s="3" t="s">
        <v>419</v>
      </c>
      <c r="BQ225">
        <v>7</v>
      </c>
      <c r="BR225" t="s">
        <v>83</v>
      </c>
      <c r="BS225" s="3">
        <v>1</v>
      </c>
      <c r="BT225" s="3" t="s">
        <v>418</v>
      </c>
      <c r="BU225" s="3">
        <v>2</v>
      </c>
      <c r="BV225" s="3" t="str">
        <f t="shared" si="58"/>
        <v>C7</v>
      </c>
      <c r="BW225" s="3">
        <f t="shared" si="59"/>
        <v>2.7919833904381566</v>
      </c>
      <c r="BX225" s="21" t="s">
        <v>417</v>
      </c>
      <c r="BY225" s="3" t="str">
        <f t="shared" si="48"/>
        <v>Och-C_DilutionPlate</v>
      </c>
      <c r="BZ225" s="3" t="str">
        <f t="shared" si="49"/>
        <v>C7</v>
      </c>
      <c r="CA225" s="3" t="str">
        <f t="shared" si="50"/>
        <v>Och-C</v>
      </c>
      <c r="CC225" s="3">
        <v>1.5</v>
      </c>
      <c r="CD225" s="9" t="s">
        <v>505</v>
      </c>
      <c r="CE225" s="21" t="str">
        <f t="shared" si="45"/>
        <v>OcC0800505E</v>
      </c>
      <c r="CF225" s="21" t="str">
        <f t="shared" si="51"/>
        <v>Och-CTum_005-Ex1-5E-lcwgs-1-1</v>
      </c>
      <c r="CG225" s="3">
        <f t="shared" si="52"/>
        <v>0.52423315640331591</v>
      </c>
      <c r="CH225">
        <v>97816</v>
      </c>
      <c r="CI225">
        <v>83778</v>
      </c>
      <c r="CJ225" t="s">
        <v>79</v>
      </c>
      <c r="CK225" s="3">
        <v>2.0378381006637412</v>
      </c>
      <c r="CL225" t="s">
        <v>1202</v>
      </c>
      <c r="CM225" s="33" t="s">
        <v>1814</v>
      </c>
      <c r="CN225" s="3" t="str">
        <f t="shared" si="53"/>
        <v>Och-CTum_005-Ex1-5E-lcwgs-1-2</v>
      </c>
      <c r="CR225"/>
    </row>
    <row r="226" spans="1:96" x14ac:dyDescent="0.55000000000000004">
      <c r="A226" s="9" t="s">
        <v>97</v>
      </c>
      <c r="B226" s="9" t="s">
        <v>98</v>
      </c>
      <c r="C226" s="3">
        <v>1</v>
      </c>
      <c r="E226" t="s">
        <v>72</v>
      </c>
      <c r="F226" s="7">
        <v>6</v>
      </c>
      <c r="G226" s="5" t="s">
        <v>73</v>
      </c>
      <c r="H226" s="3">
        <v>1.1470261732851985</v>
      </c>
      <c r="I226" s="3" t="s">
        <v>74</v>
      </c>
      <c r="J226" s="3">
        <v>0.1</v>
      </c>
      <c r="K226" s="3">
        <v>7.25</v>
      </c>
      <c r="L226" s="3">
        <v>0.33</v>
      </c>
      <c r="O226" s="3">
        <v>51.616177797833934</v>
      </c>
      <c r="P226" s="3">
        <v>45</v>
      </c>
      <c r="R226" s="3">
        <v>10</v>
      </c>
      <c r="S226" s="4">
        <v>44949</v>
      </c>
      <c r="T226" s="4"/>
      <c r="U226" s="3" t="s">
        <v>75</v>
      </c>
      <c r="V226" s="10" t="s">
        <v>99</v>
      </c>
      <c r="W226" s="10">
        <v>5</v>
      </c>
      <c r="X226" s="10" t="s">
        <v>100</v>
      </c>
      <c r="Y226" s="10">
        <v>5</v>
      </c>
      <c r="Z226">
        <v>5</v>
      </c>
      <c r="AA226" t="s">
        <v>88</v>
      </c>
      <c r="AB226" t="s">
        <v>77</v>
      </c>
      <c r="AC226" s="3" t="s">
        <v>78</v>
      </c>
      <c r="AD226" s="3">
        <v>4</v>
      </c>
      <c r="AE226">
        <v>5</v>
      </c>
      <c r="AF226" t="s">
        <v>88</v>
      </c>
      <c r="AG226" t="s">
        <v>664</v>
      </c>
      <c r="AH226" s="17" t="s">
        <v>665</v>
      </c>
      <c r="AI226" t="s">
        <v>654</v>
      </c>
      <c r="AJ226" s="18" t="s">
        <v>655</v>
      </c>
      <c r="AO226" s="3">
        <v>4.3829615847155718</v>
      </c>
      <c r="AP226" s="3">
        <v>37</v>
      </c>
      <c r="AQ226" s="3">
        <f t="shared" si="47"/>
        <v>162.16957863447615</v>
      </c>
      <c r="BE226" s="3" t="s">
        <v>79</v>
      </c>
      <c r="BF226" s="3" t="s">
        <v>80</v>
      </c>
      <c r="BG226" s="3" t="s">
        <v>416</v>
      </c>
      <c r="BH226" s="3">
        <f t="shared" si="60"/>
        <v>2</v>
      </c>
      <c r="BI226" s="3" t="str">
        <f t="shared" si="54"/>
        <v>F5</v>
      </c>
      <c r="BJ226" s="3">
        <v>54</v>
      </c>
      <c r="BK226" s="3" t="str">
        <f t="shared" si="55"/>
        <v>E7</v>
      </c>
      <c r="BL226" s="3">
        <v>1.5</v>
      </c>
      <c r="BM226" s="3">
        <v>1.5</v>
      </c>
      <c r="BN226" s="3">
        <f t="shared" si="56"/>
        <v>4.3829615847155718</v>
      </c>
      <c r="BO226" s="3">
        <f t="shared" si="57"/>
        <v>2.8829615847155718</v>
      </c>
      <c r="BP226" s="3" t="s">
        <v>419</v>
      </c>
      <c r="BQ226">
        <v>7</v>
      </c>
      <c r="BR226" t="s">
        <v>87</v>
      </c>
      <c r="BS226" s="3">
        <v>1</v>
      </c>
      <c r="BT226" s="3" t="s">
        <v>418</v>
      </c>
      <c r="BU226" s="3">
        <v>2</v>
      </c>
      <c r="BV226" s="3" t="str">
        <f t="shared" si="58"/>
        <v>E7</v>
      </c>
      <c r="BW226" s="3">
        <f t="shared" si="59"/>
        <v>2.8829615847155718</v>
      </c>
      <c r="BX226" s="21" t="s">
        <v>417</v>
      </c>
      <c r="BY226" s="3" t="str">
        <f t="shared" si="48"/>
        <v>Och-C_DilutionPlate</v>
      </c>
      <c r="BZ226" s="3" t="str">
        <f t="shared" si="49"/>
        <v>E7</v>
      </c>
      <c r="CA226" s="3" t="str">
        <f t="shared" si="50"/>
        <v>Och-C</v>
      </c>
      <c r="CC226" s="3">
        <v>1.5</v>
      </c>
      <c r="CD226" s="9" t="s">
        <v>506</v>
      </c>
      <c r="CE226" s="21" t="str">
        <f t="shared" si="45"/>
        <v>OcC0800605F</v>
      </c>
      <c r="CF226" s="21" t="str">
        <f t="shared" si="51"/>
        <v>Och-CTum_006-Ex1-5F-lcwgs-1-1</v>
      </c>
      <c r="CG226" s="3">
        <f t="shared" si="52"/>
        <v>0.5133515219130107</v>
      </c>
      <c r="CH226">
        <v>133721</v>
      </c>
      <c r="CI226">
        <v>111629</v>
      </c>
      <c r="CJ226" t="s">
        <v>79</v>
      </c>
      <c r="CK226" s="3">
        <v>1.4966526276439578</v>
      </c>
      <c r="CL226" t="s">
        <v>1202</v>
      </c>
      <c r="CM226" s="33" t="s">
        <v>1815</v>
      </c>
      <c r="CN226" s="3" t="str">
        <f t="shared" si="53"/>
        <v>Och-CTum_006-Ex1-5F-lcwgs-1-2</v>
      </c>
      <c r="CR226"/>
    </row>
    <row r="227" spans="1:96" x14ac:dyDescent="0.55000000000000004">
      <c r="A227" s="9" t="s">
        <v>101</v>
      </c>
      <c r="B227" s="9" t="s">
        <v>102</v>
      </c>
      <c r="C227" s="3">
        <v>1</v>
      </c>
      <c r="E227" t="s">
        <v>72</v>
      </c>
      <c r="F227" s="7">
        <v>7</v>
      </c>
      <c r="G227" s="5" t="s">
        <v>73</v>
      </c>
      <c r="H227" s="3">
        <v>3.6229512635379062</v>
      </c>
      <c r="I227" s="3" t="s">
        <v>74</v>
      </c>
      <c r="J227" s="3">
        <v>0.1</v>
      </c>
      <c r="K227" s="3">
        <v>7.25</v>
      </c>
      <c r="L227" s="3">
        <v>0.33</v>
      </c>
      <c r="O227" s="3">
        <v>100</v>
      </c>
      <c r="P227" s="3">
        <v>27.601806573116139</v>
      </c>
      <c r="R227" s="3">
        <v>10</v>
      </c>
      <c r="S227" s="4">
        <v>44949</v>
      </c>
      <c r="T227" s="4"/>
      <c r="U227" s="3" t="s">
        <v>75</v>
      </c>
      <c r="V227" s="10" t="s">
        <v>103</v>
      </c>
      <c r="W227" s="10">
        <v>5</v>
      </c>
      <c r="X227" s="10" t="s">
        <v>104</v>
      </c>
      <c r="Y227" s="10">
        <v>5</v>
      </c>
      <c r="Z227">
        <v>5</v>
      </c>
      <c r="AA227" t="s">
        <v>91</v>
      </c>
      <c r="AB227" t="s">
        <v>77</v>
      </c>
      <c r="AC227" s="3" t="s">
        <v>78</v>
      </c>
      <c r="AD227" s="3">
        <v>4</v>
      </c>
      <c r="AE227">
        <v>5</v>
      </c>
      <c r="AF227" t="s">
        <v>91</v>
      </c>
      <c r="AG227" t="s">
        <v>666</v>
      </c>
      <c r="AH227" s="17" t="s">
        <v>667</v>
      </c>
      <c r="AI227" t="s">
        <v>654</v>
      </c>
      <c r="AJ227" s="18" t="s">
        <v>655</v>
      </c>
      <c r="AO227" s="3">
        <v>4.0436795171427926</v>
      </c>
      <c r="AP227" s="3">
        <v>37</v>
      </c>
      <c r="AQ227" s="3">
        <f t="shared" si="47"/>
        <v>149.61614213428334</v>
      </c>
      <c r="BE227" s="3" t="s">
        <v>79</v>
      </c>
      <c r="BF227" s="3" t="s">
        <v>80</v>
      </c>
      <c r="BG227" s="3" t="s">
        <v>416</v>
      </c>
      <c r="BH227" s="3">
        <f t="shared" si="60"/>
        <v>2</v>
      </c>
      <c r="BI227" s="3" t="str">
        <f t="shared" si="54"/>
        <v>G5</v>
      </c>
      <c r="BJ227" s="3">
        <v>44</v>
      </c>
      <c r="BK227" s="3" t="str">
        <f t="shared" si="55"/>
        <v>C6</v>
      </c>
      <c r="BL227" s="3">
        <v>1.5</v>
      </c>
      <c r="BM227" s="3">
        <v>1.5</v>
      </c>
      <c r="BN227" s="3">
        <f t="shared" si="56"/>
        <v>4.0436795171427926</v>
      </c>
      <c r="BO227" s="3">
        <f t="shared" si="57"/>
        <v>2.5436795171427926</v>
      </c>
      <c r="BP227" s="3" t="s">
        <v>419</v>
      </c>
      <c r="BQ227">
        <v>6</v>
      </c>
      <c r="BR227" t="s">
        <v>83</v>
      </c>
      <c r="BS227" s="3">
        <v>1</v>
      </c>
      <c r="BT227" s="3" t="s">
        <v>418</v>
      </c>
      <c r="BU227" s="3">
        <v>2</v>
      </c>
      <c r="BV227" s="3" t="str">
        <f t="shared" si="58"/>
        <v>C6</v>
      </c>
      <c r="BW227" s="3">
        <f t="shared" si="59"/>
        <v>2.5436795171427926</v>
      </c>
      <c r="BX227" s="21" t="s">
        <v>417</v>
      </c>
      <c r="BY227" s="3" t="str">
        <f t="shared" si="48"/>
        <v>Och-C_DilutionPlate</v>
      </c>
      <c r="BZ227" s="3" t="str">
        <f t="shared" si="49"/>
        <v>C6</v>
      </c>
      <c r="CA227" s="3" t="str">
        <f t="shared" si="50"/>
        <v>Och-C</v>
      </c>
      <c r="CC227" s="3">
        <v>1.5</v>
      </c>
      <c r="CD227" s="9" t="s">
        <v>507</v>
      </c>
      <c r="CE227" s="21" t="str">
        <f t="shared" si="45"/>
        <v>OcC0800705G</v>
      </c>
      <c r="CF227" s="21" t="str">
        <f t="shared" si="51"/>
        <v>Och-CTum_007-Ex1-5G-lcwgs-1-1</v>
      </c>
      <c r="CG227" s="3">
        <f t="shared" si="52"/>
        <v>0.5564239179839402</v>
      </c>
      <c r="CH227">
        <v>103167</v>
      </c>
      <c r="CI227">
        <v>87031</v>
      </c>
      <c r="CJ227" t="s">
        <v>79</v>
      </c>
      <c r="CK227" s="3">
        <v>2.0819625005787574</v>
      </c>
      <c r="CL227" t="s">
        <v>1202</v>
      </c>
      <c r="CM227" s="33" t="s">
        <v>1816</v>
      </c>
      <c r="CN227" s="3" t="str">
        <f t="shared" si="53"/>
        <v>Och-CTum_007-Ex1-5G-lcwgs-1-2</v>
      </c>
      <c r="CR227"/>
    </row>
    <row r="228" spans="1:96" x14ac:dyDescent="0.55000000000000004">
      <c r="A228" s="9" t="s">
        <v>105</v>
      </c>
      <c r="B228" s="9" t="s">
        <v>106</v>
      </c>
      <c r="C228" s="3">
        <v>1</v>
      </c>
      <c r="E228" t="s">
        <v>72</v>
      </c>
      <c r="F228" s="7">
        <v>8</v>
      </c>
      <c r="G228" s="5" t="s">
        <v>73</v>
      </c>
      <c r="H228" s="3">
        <v>7.3956137184115534</v>
      </c>
      <c r="I228" s="3" t="s">
        <v>74</v>
      </c>
      <c r="J228" s="3">
        <v>0.1</v>
      </c>
      <c r="K228" s="3">
        <v>7.25</v>
      </c>
      <c r="L228" s="3">
        <v>0.33</v>
      </c>
      <c r="O228" s="3">
        <v>100</v>
      </c>
      <c r="P228" s="3">
        <v>13.521528274394274</v>
      </c>
      <c r="R228" s="3">
        <v>10</v>
      </c>
      <c r="S228" s="4">
        <v>44949</v>
      </c>
      <c r="T228" s="4"/>
      <c r="U228" s="3" t="s">
        <v>75</v>
      </c>
      <c r="V228" s="10" t="s">
        <v>107</v>
      </c>
      <c r="W228" s="10">
        <v>5</v>
      </c>
      <c r="X228" s="10" t="s">
        <v>108</v>
      </c>
      <c r="Y228" s="10">
        <v>5</v>
      </c>
      <c r="Z228">
        <v>5</v>
      </c>
      <c r="AA228" t="s">
        <v>92</v>
      </c>
      <c r="AB228" t="s">
        <v>77</v>
      </c>
      <c r="AC228" s="3" t="s">
        <v>78</v>
      </c>
      <c r="AD228" s="3">
        <v>4</v>
      </c>
      <c r="AE228">
        <v>5</v>
      </c>
      <c r="AF228" t="s">
        <v>92</v>
      </c>
      <c r="AG228" t="s">
        <v>668</v>
      </c>
      <c r="AH228" s="17" t="s">
        <v>669</v>
      </c>
      <c r="AI228" t="s">
        <v>654</v>
      </c>
      <c r="AJ228" s="18" t="s">
        <v>655</v>
      </c>
      <c r="AO228" s="3">
        <v>3.7062864468698242</v>
      </c>
      <c r="AP228" s="3">
        <v>37</v>
      </c>
      <c r="AQ228" s="3">
        <f t="shared" si="47"/>
        <v>137.1325985341835</v>
      </c>
      <c r="BE228" s="3" t="s">
        <v>79</v>
      </c>
      <c r="BF228" s="3" t="s">
        <v>80</v>
      </c>
      <c r="BG228" s="3" t="s">
        <v>416</v>
      </c>
      <c r="BH228" s="3">
        <f t="shared" si="60"/>
        <v>2</v>
      </c>
      <c r="BI228" s="3" t="str">
        <f t="shared" si="54"/>
        <v>H5</v>
      </c>
      <c r="BJ228" s="3">
        <v>28</v>
      </c>
      <c r="BK228" s="3" t="str">
        <f t="shared" si="55"/>
        <v>C4</v>
      </c>
      <c r="BL228" s="3">
        <v>1.5</v>
      </c>
      <c r="BM228" s="3">
        <v>1.5</v>
      </c>
      <c r="BN228" s="3">
        <f t="shared" si="56"/>
        <v>3.7062864468698238</v>
      </c>
      <c r="BO228" s="3">
        <f t="shared" si="57"/>
        <v>2.2062864468698238</v>
      </c>
      <c r="BP228" s="3" t="s">
        <v>419</v>
      </c>
      <c r="BQ228">
        <v>4</v>
      </c>
      <c r="BR228" t="s">
        <v>83</v>
      </c>
      <c r="BS228" s="3">
        <v>1</v>
      </c>
      <c r="BT228" s="3" t="s">
        <v>418</v>
      </c>
      <c r="BU228" s="3">
        <v>2</v>
      </c>
      <c r="BV228" s="3" t="str">
        <f t="shared" si="58"/>
        <v>C4</v>
      </c>
      <c r="BW228" s="3">
        <f t="shared" si="59"/>
        <v>2.2062864468698238</v>
      </c>
      <c r="BX228" s="21" t="s">
        <v>417</v>
      </c>
      <c r="BY228" s="3" t="str">
        <f t="shared" si="48"/>
        <v>Och-C_DilutionPlate</v>
      </c>
      <c r="BZ228" s="3" t="str">
        <f t="shared" si="49"/>
        <v>C4</v>
      </c>
      <c r="CA228" s="3" t="str">
        <f t="shared" si="50"/>
        <v>Och-C</v>
      </c>
      <c r="CC228" s="3">
        <v>1.5</v>
      </c>
      <c r="CD228" s="9" t="s">
        <v>508</v>
      </c>
      <c r="CE228" s="21" t="str">
        <f t="shared" si="45"/>
        <v>OcC0800805H</v>
      </c>
      <c r="CF228" s="21" t="str">
        <f t="shared" si="51"/>
        <v>Och-CTum_008-Ex1-5H-lcwgs-1-1</v>
      </c>
      <c r="CG228" s="3">
        <f t="shared" si="52"/>
        <v>0.60707666076383726</v>
      </c>
      <c r="CH228">
        <v>59759</v>
      </c>
      <c r="CI228">
        <v>50714</v>
      </c>
      <c r="CJ228" t="s">
        <v>79</v>
      </c>
      <c r="CK228" s="3">
        <v>3.9015505391292225</v>
      </c>
      <c r="CL228" t="s">
        <v>1202</v>
      </c>
      <c r="CM228" s="33" t="s">
        <v>1817</v>
      </c>
      <c r="CN228" s="3" t="str">
        <f t="shared" si="53"/>
        <v>Och-CTum_008-Ex1-5H-lcwgs-1-2</v>
      </c>
      <c r="CR228"/>
    </row>
    <row r="229" spans="1:96" x14ac:dyDescent="0.55000000000000004">
      <c r="A229" t="s">
        <v>109</v>
      </c>
      <c r="B229" t="s">
        <v>110</v>
      </c>
      <c r="C229" s="3">
        <v>1</v>
      </c>
      <c r="E229" t="s">
        <v>72</v>
      </c>
      <c r="F229" s="5">
        <v>9</v>
      </c>
      <c r="G229" s="5" t="s">
        <v>73</v>
      </c>
      <c r="H229" s="3">
        <v>4.7480370036101087</v>
      </c>
      <c r="I229" s="3" t="s">
        <v>74</v>
      </c>
      <c r="J229" s="3">
        <v>0.1</v>
      </c>
      <c r="K229" s="3">
        <v>7.25</v>
      </c>
      <c r="L229" s="3">
        <v>0.33</v>
      </c>
      <c r="O229" s="3">
        <v>100</v>
      </c>
      <c r="P229" s="3">
        <v>21.061335436932417</v>
      </c>
      <c r="R229" s="3">
        <v>10</v>
      </c>
      <c r="S229" s="4">
        <v>44949</v>
      </c>
      <c r="T229" s="4"/>
      <c r="U229" s="3" t="s">
        <v>75</v>
      </c>
      <c r="V229" s="10" t="s">
        <v>73</v>
      </c>
      <c r="W229" s="10">
        <v>6</v>
      </c>
      <c r="X229" s="10" t="s">
        <v>76</v>
      </c>
      <c r="Y229" s="10">
        <v>6</v>
      </c>
      <c r="Z229">
        <v>6</v>
      </c>
      <c r="AA229" t="s">
        <v>73</v>
      </c>
      <c r="AB229" t="s">
        <v>77</v>
      </c>
      <c r="AC229" s="3" t="s">
        <v>78</v>
      </c>
      <c r="AD229" s="3">
        <v>4</v>
      </c>
      <c r="AE229">
        <v>6</v>
      </c>
      <c r="AF229" t="s">
        <v>73</v>
      </c>
      <c r="AG229" t="s">
        <v>652</v>
      </c>
      <c r="AH229" s="17" t="s">
        <v>653</v>
      </c>
      <c r="AI229" t="s">
        <v>670</v>
      </c>
      <c r="AJ229" s="18" t="s">
        <v>671</v>
      </c>
      <c r="AO229" s="3">
        <v>3.1005593247260101</v>
      </c>
      <c r="AP229" s="3">
        <v>37</v>
      </c>
      <c r="AQ229" s="3">
        <f t="shared" si="47"/>
        <v>114.72069501486237</v>
      </c>
      <c r="BE229" s="3" t="s">
        <v>79</v>
      </c>
      <c r="BF229" s="3" t="s">
        <v>80</v>
      </c>
      <c r="BG229" s="3" t="s">
        <v>416</v>
      </c>
      <c r="BH229" s="3">
        <f t="shared" si="60"/>
        <v>2</v>
      </c>
      <c r="BI229" s="3" t="str">
        <f t="shared" si="54"/>
        <v>A6</v>
      </c>
      <c r="BJ229" s="3">
        <v>9</v>
      </c>
      <c r="BK229" s="3" t="str">
        <f t="shared" si="55"/>
        <v>H1</v>
      </c>
      <c r="BL229" s="3">
        <v>1.5</v>
      </c>
      <c r="BM229" s="3">
        <v>1.5</v>
      </c>
      <c r="BN229" s="3">
        <f t="shared" si="56"/>
        <v>3.1005593247260101</v>
      </c>
      <c r="BO229" s="3">
        <f t="shared" si="57"/>
        <v>1.6005593247260101</v>
      </c>
      <c r="BP229" s="3" t="s">
        <v>419</v>
      </c>
      <c r="BQ229">
        <v>1</v>
      </c>
      <c r="BR229" t="s">
        <v>92</v>
      </c>
      <c r="BS229" s="3">
        <v>1</v>
      </c>
      <c r="BT229" s="3" t="s">
        <v>418</v>
      </c>
      <c r="BU229" s="3">
        <v>2</v>
      </c>
      <c r="BV229" s="3" t="str">
        <f t="shared" si="58"/>
        <v>H1</v>
      </c>
      <c r="BW229" s="3">
        <f t="shared" si="59"/>
        <v>1.6005593247260101</v>
      </c>
      <c r="BX229" s="21" t="s">
        <v>417</v>
      </c>
      <c r="BY229" s="3" t="str">
        <f t="shared" si="48"/>
        <v>Och-C_DilutionPlate</v>
      </c>
      <c r="BZ229" s="3" t="str">
        <f t="shared" si="49"/>
        <v>H1</v>
      </c>
      <c r="CA229" s="3" t="str">
        <f t="shared" si="50"/>
        <v>Och-C</v>
      </c>
      <c r="CC229" s="3">
        <v>1.5</v>
      </c>
      <c r="CD229" t="s">
        <v>509</v>
      </c>
      <c r="CE229" s="21" t="str">
        <f t="shared" si="45"/>
        <v>OcC0800906A</v>
      </c>
      <c r="CF229" s="21" t="str">
        <f t="shared" si="51"/>
        <v>Och-CTum_009-Ex1-6A-lcwgs-1-1</v>
      </c>
      <c r="CG229" s="3">
        <f t="shared" si="52"/>
        <v>0.7256755199156939</v>
      </c>
      <c r="CH229">
        <v>150831</v>
      </c>
      <c r="CI229">
        <v>122314</v>
      </c>
      <c r="CJ229" t="s">
        <v>79</v>
      </c>
      <c r="CK229" s="3">
        <v>1.9303560616050117</v>
      </c>
      <c r="CL229" t="s">
        <v>1202</v>
      </c>
      <c r="CM229" s="33" t="s">
        <v>1818</v>
      </c>
      <c r="CN229" s="3" t="str">
        <f t="shared" si="53"/>
        <v>Och-CTum_009-Ex1-6A-lcwgs-1-2</v>
      </c>
      <c r="CR229"/>
    </row>
    <row r="230" spans="1:96" x14ac:dyDescent="0.55000000000000004">
      <c r="A230" t="s">
        <v>111</v>
      </c>
      <c r="B230" t="s">
        <v>112</v>
      </c>
      <c r="C230" s="3">
        <v>1</v>
      </c>
      <c r="E230" t="s">
        <v>72</v>
      </c>
      <c r="F230" s="5">
        <v>10</v>
      </c>
      <c r="G230" s="5" t="s">
        <v>73</v>
      </c>
      <c r="H230" s="3">
        <v>1.4904377256317689</v>
      </c>
      <c r="I230" s="3" t="s">
        <v>74</v>
      </c>
      <c r="J230" s="3">
        <v>0.1</v>
      </c>
      <c r="K230" s="3">
        <v>7.25</v>
      </c>
      <c r="L230" s="3">
        <v>0.33</v>
      </c>
      <c r="O230" s="3">
        <v>67.0696976534296</v>
      </c>
      <c r="P230" s="3">
        <v>45</v>
      </c>
      <c r="R230" s="3">
        <v>10</v>
      </c>
      <c r="S230" s="4">
        <v>44949</v>
      </c>
      <c r="T230" s="4"/>
      <c r="U230" s="3" t="s">
        <v>75</v>
      </c>
      <c r="V230" s="10" t="s">
        <v>83</v>
      </c>
      <c r="W230" s="10">
        <v>6</v>
      </c>
      <c r="X230" s="10" t="s">
        <v>84</v>
      </c>
      <c r="Y230" s="10">
        <v>6</v>
      </c>
      <c r="Z230">
        <v>6</v>
      </c>
      <c r="AA230" t="s">
        <v>76</v>
      </c>
      <c r="AB230" t="s">
        <v>77</v>
      </c>
      <c r="AC230" s="3" t="s">
        <v>78</v>
      </c>
      <c r="AD230" s="3">
        <v>4</v>
      </c>
      <c r="AE230">
        <v>6</v>
      </c>
      <c r="AF230" t="s">
        <v>76</v>
      </c>
      <c r="AG230" t="s">
        <v>656</v>
      </c>
      <c r="AH230" s="17" t="s">
        <v>657</v>
      </c>
      <c r="AI230" t="s">
        <v>670</v>
      </c>
      <c r="AJ230" s="18" t="s">
        <v>671</v>
      </c>
      <c r="AO230" s="3">
        <v>2.4191361666401945</v>
      </c>
      <c r="AP230" s="3">
        <v>37</v>
      </c>
      <c r="AQ230" s="3">
        <f t="shared" si="47"/>
        <v>89.508038165687196</v>
      </c>
      <c r="BE230" s="3" t="s">
        <v>79</v>
      </c>
      <c r="BF230" s="3" t="s">
        <v>80</v>
      </c>
      <c r="BG230" s="3" t="s">
        <v>416</v>
      </c>
      <c r="BH230" s="3">
        <f t="shared" si="60"/>
        <v>2</v>
      </c>
      <c r="BI230" s="3" t="str">
        <f t="shared" si="54"/>
        <v>B6</v>
      </c>
      <c r="BJ230" s="3">
        <v>1</v>
      </c>
      <c r="BK230" s="3" t="str">
        <f t="shared" si="55"/>
        <v>F7</v>
      </c>
      <c r="BL230" s="3">
        <v>1.5</v>
      </c>
      <c r="BM230" s="3">
        <v>1.5</v>
      </c>
      <c r="BN230" s="3">
        <f t="shared" si="56"/>
        <v>2.4191361666401945</v>
      </c>
      <c r="BO230" s="3">
        <f t="shared" si="57"/>
        <v>0.91913616664019449</v>
      </c>
      <c r="BP230" s="3" t="s">
        <v>420</v>
      </c>
      <c r="BQ230">
        <v>7</v>
      </c>
      <c r="BR230" t="s">
        <v>88</v>
      </c>
      <c r="BS230" s="3">
        <v>1</v>
      </c>
      <c r="BT230" s="3" t="s">
        <v>418</v>
      </c>
      <c r="BU230" s="3">
        <v>1</v>
      </c>
      <c r="BV230" s="3" t="str">
        <f t="shared" si="58"/>
        <v>F7</v>
      </c>
      <c r="BW230" s="3">
        <f t="shared" si="59"/>
        <v>0.91913616664019449</v>
      </c>
      <c r="BX230" s="21" t="s">
        <v>417</v>
      </c>
      <c r="BY230" s="3" t="str">
        <f t="shared" si="48"/>
        <v>Och-Mixed_Dilution Plate</v>
      </c>
      <c r="BZ230" s="3" t="str">
        <f t="shared" si="49"/>
        <v>F7</v>
      </c>
      <c r="CA230" s="3" t="str">
        <f t="shared" si="50"/>
        <v>Och-C</v>
      </c>
      <c r="CC230" s="3">
        <v>1.5</v>
      </c>
      <c r="CD230" t="s">
        <v>510</v>
      </c>
      <c r="CE230" s="21" t="str">
        <f t="shared" si="45"/>
        <v>OcC0801006B</v>
      </c>
      <c r="CF230" s="21" t="str">
        <f t="shared" si="51"/>
        <v>Och-CTum_010-Ex1-6B-lcwgs-1-1</v>
      </c>
      <c r="CG230" s="3">
        <f t="shared" si="52"/>
        <v>0.93008406514169129</v>
      </c>
      <c r="CH230">
        <v>111061</v>
      </c>
      <c r="CI230">
        <v>91892</v>
      </c>
      <c r="CJ230" t="s">
        <v>79</v>
      </c>
      <c r="CK230" s="3">
        <v>3.2956010631358139</v>
      </c>
      <c r="CL230" t="s">
        <v>1202</v>
      </c>
      <c r="CM230" s="33" t="s">
        <v>1819</v>
      </c>
      <c r="CN230" s="3" t="str">
        <f t="shared" si="53"/>
        <v>Och-CTum_010-Ex1-6B-lcwgs-1-2</v>
      </c>
      <c r="CR230"/>
    </row>
    <row r="231" spans="1:96" x14ac:dyDescent="0.55000000000000004">
      <c r="A231" t="s">
        <v>113</v>
      </c>
      <c r="B231" t="s">
        <v>114</v>
      </c>
      <c r="C231" s="3">
        <v>1</v>
      </c>
      <c r="E231" t="s">
        <v>72</v>
      </c>
      <c r="F231" s="5">
        <v>11</v>
      </c>
      <c r="G231" s="5" t="s">
        <v>73</v>
      </c>
      <c r="H231" s="3">
        <v>2.6392870036101082</v>
      </c>
      <c r="I231" s="3" t="s">
        <v>74</v>
      </c>
      <c r="J231" s="3">
        <v>0.1</v>
      </c>
      <c r="K231" s="3">
        <v>7.25</v>
      </c>
      <c r="L231" s="3">
        <v>0.33</v>
      </c>
      <c r="O231" s="3">
        <v>100</v>
      </c>
      <c r="P231" s="3">
        <v>37.889020732954215</v>
      </c>
      <c r="R231" s="3">
        <v>10</v>
      </c>
      <c r="S231" s="4">
        <v>44949</v>
      </c>
      <c r="T231" s="4"/>
      <c r="U231" s="3" t="s">
        <v>75</v>
      </c>
      <c r="V231" s="10" t="s">
        <v>87</v>
      </c>
      <c r="W231" s="10">
        <v>6</v>
      </c>
      <c r="X231" s="10" t="s">
        <v>88</v>
      </c>
      <c r="Y231" s="10">
        <v>6</v>
      </c>
      <c r="Z231">
        <v>6</v>
      </c>
      <c r="AA231" t="s">
        <v>83</v>
      </c>
      <c r="AB231" t="s">
        <v>77</v>
      </c>
      <c r="AC231" s="3" t="s">
        <v>78</v>
      </c>
      <c r="AD231" s="3">
        <v>4</v>
      </c>
      <c r="AE231">
        <v>6</v>
      </c>
      <c r="AF231" t="s">
        <v>83</v>
      </c>
      <c r="AG231" t="s">
        <v>658</v>
      </c>
      <c r="AH231" s="17" t="s">
        <v>659</v>
      </c>
      <c r="AI231" t="s">
        <v>670</v>
      </c>
      <c r="AJ231" s="18" t="s">
        <v>671</v>
      </c>
      <c r="AO231" s="3">
        <v>2.0979158630391872</v>
      </c>
      <c r="AP231" s="3">
        <v>37</v>
      </c>
      <c r="AQ231" s="3">
        <f t="shared" si="47"/>
        <v>77.62288693244993</v>
      </c>
      <c r="BE231" s="3" t="s">
        <v>79</v>
      </c>
      <c r="BF231" s="3" t="s">
        <v>80</v>
      </c>
      <c r="BG231" s="3" t="s">
        <v>416</v>
      </c>
      <c r="BH231" s="3">
        <f t="shared" si="60"/>
        <v>2</v>
      </c>
      <c r="BI231" s="3" t="str">
        <f t="shared" si="54"/>
        <v>C6</v>
      </c>
      <c r="BJ231" s="3">
        <v>1</v>
      </c>
      <c r="BK231" s="3" t="str">
        <f t="shared" si="55"/>
        <v>G6</v>
      </c>
      <c r="BL231" s="3">
        <v>1.5</v>
      </c>
      <c r="BM231" s="3">
        <v>1.5</v>
      </c>
      <c r="BN231" s="3">
        <f t="shared" si="56"/>
        <v>2.0979158630391872</v>
      </c>
      <c r="BO231" s="3">
        <f t="shared" si="57"/>
        <v>0.5979158630391872</v>
      </c>
      <c r="BP231" s="3" t="s">
        <v>420</v>
      </c>
      <c r="BQ231">
        <v>6</v>
      </c>
      <c r="BR231" t="s">
        <v>91</v>
      </c>
      <c r="BS231" s="3">
        <v>1</v>
      </c>
      <c r="BT231" s="3" t="s">
        <v>418</v>
      </c>
      <c r="BU231" s="3">
        <v>1</v>
      </c>
      <c r="BV231" s="3" t="str">
        <f t="shared" si="58"/>
        <v>G6</v>
      </c>
      <c r="BW231" s="3">
        <f t="shared" si="59"/>
        <v>0.5979158630391872</v>
      </c>
      <c r="BX231" s="21" t="s">
        <v>417</v>
      </c>
      <c r="BY231" s="3" t="str">
        <f t="shared" si="48"/>
        <v>Och-Mixed_Dilution Plate</v>
      </c>
      <c r="BZ231" s="3" t="str">
        <f t="shared" si="49"/>
        <v>G6</v>
      </c>
      <c r="CA231" s="3" t="str">
        <f t="shared" si="50"/>
        <v>Och-C</v>
      </c>
      <c r="CC231" s="3">
        <v>1.5</v>
      </c>
      <c r="CD231" t="s">
        <v>511</v>
      </c>
      <c r="CE231" s="21" t="str">
        <f t="shared" si="45"/>
        <v>OcC0801106C</v>
      </c>
      <c r="CF231" s="21" t="str">
        <f t="shared" si="51"/>
        <v>Och-CTum_011-Ex1-6C-lcwgs-1-1</v>
      </c>
      <c r="CG231" s="3">
        <f t="shared" si="52"/>
        <v>1.0724929629639641</v>
      </c>
      <c r="CH231">
        <v>101509</v>
      </c>
      <c r="CI231">
        <v>84222</v>
      </c>
      <c r="CJ231" t="s">
        <v>79</v>
      </c>
      <c r="CK231" s="3">
        <v>4.1470514974589738</v>
      </c>
      <c r="CL231" t="s">
        <v>1202</v>
      </c>
      <c r="CM231" s="33" t="s">
        <v>1820</v>
      </c>
      <c r="CN231" s="3" t="str">
        <f t="shared" si="53"/>
        <v>Och-CTum_011-Ex1-6C-lcwgs-1-2</v>
      </c>
      <c r="CR231"/>
    </row>
    <row r="232" spans="1:96" x14ac:dyDescent="0.55000000000000004">
      <c r="A232" t="s">
        <v>115</v>
      </c>
      <c r="B232" t="s">
        <v>116</v>
      </c>
      <c r="C232" s="3">
        <v>1</v>
      </c>
      <c r="E232" t="s">
        <v>72</v>
      </c>
      <c r="F232" s="5">
        <v>12</v>
      </c>
      <c r="G232" s="5" t="s">
        <v>73</v>
      </c>
      <c r="H232" s="3">
        <v>3.8472472924187731</v>
      </c>
      <c r="I232" s="3" t="s">
        <v>74</v>
      </c>
      <c r="J232" s="3">
        <v>0.1</v>
      </c>
      <c r="K232" s="3">
        <v>7.25</v>
      </c>
      <c r="L232" s="3">
        <v>0.33</v>
      </c>
      <c r="O232" s="3">
        <v>100</v>
      </c>
      <c r="P232" s="3">
        <v>25.992610404081869</v>
      </c>
      <c r="R232" s="3">
        <v>10</v>
      </c>
      <c r="S232" s="4">
        <v>44949</v>
      </c>
      <c r="T232" s="4"/>
      <c r="U232" s="3" t="s">
        <v>75</v>
      </c>
      <c r="V232" s="10" t="s">
        <v>91</v>
      </c>
      <c r="W232" s="10">
        <v>6</v>
      </c>
      <c r="X232" s="10" t="s">
        <v>92</v>
      </c>
      <c r="Y232" s="10">
        <v>6</v>
      </c>
      <c r="Z232">
        <v>6</v>
      </c>
      <c r="AA232" t="s">
        <v>84</v>
      </c>
      <c r="AB232" t="s">
        <v>77</v>
      </c>
      <c r="AC232" s="3" t="s">
        <v>78</v>
      </c>
      <c r="AD232" s="3">
        <v>4</v>
      </c>
      <c r="AE232">
        <v>6</v>
      </c>
      <c r="AF232" t="s">
        <v>84</v>
      </c>
      <c r="AG232" t="s">
        <v>660</v>
      </c>
      <c r="AH232" s="17" t="s">
        <v>661</v>
      </c>
      <c r="AI232" t="s">
        <v>670</v>
      </c>
      <c r="AJ232" s="18" t="s">
        <v>671</v>
      </c>
      <c r="AO232" s="3">
        <v>2.1443466224955188</v>
      </c>
      <c r="AP232" s="3">
        <v>37</v>
      </c>
      <c r="AQ232" s="3">
        <f t="shared" si="47"/>
        <v>79.340825032334195</v>
      </c>
      <c r="BE232" s="3" t="s">
        <v>79</v>
      </c>
      <c r="BF232" s="3" t="s">
        <v>80</v>
      </c>
      <c r="BG232" s="3" t="s">
        <v>416</v>
      </c>
      <c r="BH232" s="3">
        <f t="shared" si="60"/>
        <v>2</v>
      </c>
      <c r="BI232" s="3" t="str">
        <f t="shared" si="54"/>
        <v>D6</v>
      </c>
      <c r="BJ232" s="3">
        <v>1</v>
      </c>
      <c r="BK232" s="3" t="str">
        <f t="shared" si="55"/>
        <v>H6</v>
      </c>
      <c r="BL232" s="3">
        <v>1.5</v>
      </c>
      <c r="BM232" s="3">
        <v>1.5</v>
      </c>
      <c r="BN232" s="3">
        <f t="shared" si="56"/>
        <v>2.1443466224955188</v>
      </c>
      <c r="BO232" s="3">
        <f t="shared" si="57"/>
        <v>0.64434662249551877</v>
      </c>
      <c r="BP232" s="3" t="s">
        <v>420</v>
      </c>
      <c r="BQ232">
        <v>6</v>
      </c>
      <c r="BR232" t="s">
        <v>92</v>
      </c>
      <c r="BS232" s="3">
        <v>1</v>
      </c>
      <c r="BT232" s="3" t="s">
        <v>418</v>
      </c>
      <c r="BU232" s="3">
        <v>1</v>
      </c>
      <c r="BV232" s="3" t="str">
        <f t="shared" si="58"/>
        <v>H6</v>
      </c>
      <c r="BW232" s="3">
        <f t="shared" si="59"/>
        <v>0.64434662249551877</v>
      </c>
      <c r="BX232" s="21" t="s">
        <v>417</v>
      </c>
      <c r="BY232" s="3" t="str">
        <f t="shared" si="48"/>
        <v>Och-Mixed_Dilution Plate</v>
      </c>
      <c r="BZ232" s="3" t="str">
        <f t="shared" si="49"/>
        <v>H6</v>
      </c>
      <c r="CA232" s="3" t="str">
        <f t="shared" si="50"/>
        <v>Och-C</v>
      </c>
      <c r="CC232" s="3">
        <v>1.5</v>
      </c>
      <c r="CD232" t="s">
        <v>512</v>
      </c>
      <c r="CE232" s="21" t="str">
        <f t="shared" si="45"/>
        <v>OcC0801206D</v>
      </c>
      <c r="CF232" s="21" t="str">
        <f t="shared" si="51"/>
        <v>Och-CTum_012-Ex1-6D-lcwgs-1-1</v>
      </c>
      <c r="CG232" s="3">
        <f t="shared" si="52"/>
        <v>1.0492706619331558</v>
      </c>
      <c r="CH232">
        <v>550290</v>
      </c>
      <c r="CI232">
        <v>446985</v>
      </c>
      <c r="CJ232" t="s">
        <v>79</v>
      </c>
      <c r="CK232" s="3">
        <v>0.75778573382753156</v>
      </c>
      <c r="CL232" t="s">
        <v>1202</v>
      </c>
      <c r="CM232" s="33" t="s">
        <v>1821</v>
      </c>
      <c r="CN232" s="3" t="str">
        <f t="shared" si="53"/>
        <v>Och-CTum_012-Ex1-6D-lcwgs-1-2</v>
      </c>
      <c r="CR232"/>
    </row>
    <row r="233" spans="1:96" x14ac:dyDescent="0.55000000000000004">
      <c r="A233" t="s">
        <v>117</v>
      </c>
      <c r="B233" t="s">
        <v>118</v>
      </c>
      <c r="C233" s="3">
        <v>1</v>
      </c>
      <c r="E233" t="s">
        <v>72</v>
      </c>
      <c r="F233" s="5">
        <v>1</v>
      </c>
      <c r="G233" s="5" t="s">
        <v>76</v>
      </c>
      <c r="H233" s="3">
        <v>5.9192102888086637</v>
      </c>
      <c r="I233" s="3" t="s">
        <v>74</v>
      </c>
      <c r="J233" s="3">
        <v>0.1</v>
      </c>
      <c r="K233" s="3">
        <v>7.25</v>
      </c>
      <c r="L233" s="3">
        <v>0.33</v>
      </c>
      <c r="O233" s="3">
        <v>100</v>
      </c>
      <c r="P233" s="3">
        <v>16.894145522937084</v>
      </c>
      <c r="R233" s="3">
        <v>10</v>
      </c>
      <c r="S233" s="4">
        <v>44949</v>
      </c>
      <c r="T233" s="4"/>
      <c r="U233" s="3" t="s">
        <v>75</v>
      </c>
      <c r="V233" s="10" t="s">
        <v>95</v>
      </c>
      <c r="W233" s="10">
        <v>6</v>
      </c>
      <c r="X233" s="10" t="s">
        <v>96</v>
      </c>
      <c r="Y233" s="10">
        <v>6</v>
      </c>
      <c r="Z233">
        <v>6</v>
      </c>
      <c r="AA233" t="s">
        <v>87</v>
      </c>
      <c r="AB233" t="s">
        <v>77</v>
      </c>
      <c r="AC233" s="3" t="s">
        <v>78</v>
      </c>
      <c r="AD233" s="3">
        <v>4</v>
      </c>
      <c r="AE233">
        <v>6</v>
      </c>
      <c r="AF233" t="s">
        <v>87</v>
      </c>
      <c r="AG233" t="s">
        <v>662</v>
      </c>
      <c r="AH233" s="17" t="s">
        <v>663</v>
      </c>
      <c r="AI233" t="s">
        <v>670</v>
      </c>
      <c r="AJ233" s="18" t="s">
        <v>671</v>
      </c>
      <c r="AO233" s="3">
        <v>3.7373045767057702</v>
      </c>
      <c r="AP233" s="3">
        <v>37</v>
      </c>
      <c r="AQ233" s="3">
        <f t="shared" si="47"/>
        <v>138.2802693381135</v>
      </c>
      <c r="BE233" s="3" t="s">
        <v>79</v>
      </c>
      <c r="BF233" s="3" t="s">
        <v>80</v>
      </c>
      <c r="BG233" s="3" t="s">
        <v>416</v>
      </c>
      <c r="BH233" s="3">
        <f t="shared" si="60"/>
        <v>2</v>
      </c>
      <c r="BI233" s="3" t="str">
        <f t="shared" si="54"/>
        <v>E6</v>
      </c>
      <c r="BJ233" s="3">
        <v>31</v>
      </c>
      <c r="BK233" s="3" t="str">
        <f t="shared" si="55"/>
        <v>F4</v>
      </c>
      <c r="BL233" s="3">
        <v>1.5</v>
      </c>
      <c r="BM233" s="3">
        <v>1.5</v>
      </c>
      <c r="BN233" s="3">
        <f t="shared" si="56"/>
        <v>3.7373045767057698</v>
      </c>
      <c r="BO233" s="3">
        <f t="shared" si="57"/>
        <v>2.2373045767057698</v>
      </c>
      <c r="BP233" s="3" t="s">
        <v>419</v>
      </c>
      <c r="BQ233">
        <v>4</v>
      </c>
      <c r="BR233" t="s">
        <v>88</v>
      </c>
      <c r="BS233" s="3">
        <v>1</v>
      </c>
      <c r="BT233" s="3" t="s">
        <v>418</v>
      </c>
      <c r="BU233" s="3">
        <v>2</v>
      </c>
      <c r="BV233" s="3" t="str">
        <f t="shared" si="58"/>
        <v>F4</v>
      </c>
      <c r="BW233" s="3">
        <f t="shared" si="59"/>
        <v>2.2373045767057698</v>
      </c>
      <c r="BX233" s="21" t="s">
        <v>417</v>
      </c>
      <c r="BY233" s="3" t="str">
        <f t="shared" si="48"/>
        <v>Och-C_DilutionPlate</v>
      </c>
      <c r="BZ233" s="3" t="str">
        <f t="shared" si="49"/>
        <v>F4</v>
      </c>
      <c r="CA233" s="3" t="str">
        <f t="shared" si="50"/>
        <v>Och-C</v>
      </c>
      <c r="CC233" s="3">
        <v>1.5</v>
      </c>
      <c r="CD233" t="s">
        <v>513</v>
      </c>
      <c r="CE233" s="21" t="str">
        <f t="shared" si="45"/>
        <v>OcC0801306E</v>
      </c>
      <c r="CF233" s="21" t="str">
        <f t="shared" si="51"/>
        <v>Och-CTum_013-Ex1-6E-lcwgs-1-1</v>
      </c>
      <c r="CG233" s="3">
        <f t="shared" si="52"/>
        <v>0.60203816783465158</v>
      </c>
      <c r="CH233">
        <v>1254355</v>
      </c>
      <c r="CI233">
        <v>1002472</v>
      </c>
      <c r="CJ233" t="s">
        <v>79</v>
      </c>
      <c r="CK233" s="3">
        <v>0.19124510881289047</v>
      </c>
      <c r="CL233" t="s">
        <v>1202</v>
      </c>
      <c r="CM233" s="33" t="s">
        <v>1822</v>
      </c>
      <c r="CN233" s="3" t="str">
        <f t="shared" si="53"/>
        <v>Och-CTum_013-Ex1-6E-lcwgs-1-2</v>
      </c>
      <c r="CR233"/>
    </row>
    <row r="234" spans="1:96" x14ac:dyDescent="0.55000000000000004">
      <c r="A234" t="s">
        <v>119</v>
      </c>
      <c r="B234" t="s">
        <v>120</v>
      </c>
      <c r="C234" s="3">
        <v>1</v>
      </c>
      <c r="E234" t="s">
        <v>72</v>
      </c>
      <c r="F234" s="5">
        <v>2</v>
      </c>
      <c r="G234" s="5" t="s">
        <v>76</v>
      </c>
      <c r="H234" s="3">
        <v>5.4474007220216603</v>
      </c>
      <c r="I234" s="3" t="s">
        <v>74</v>
      </c>
      <c r="J234" s="3">
        <v>0.1</v>
      </c>
      <c r="K234" s="3">
        <v>7.25</v>
      </c>
      <c r="L234" s="3">
        <v>0.33</v>
      </c>
      <c r="O234" s="3">
        <v>100</v>
      </c>
      <c r="P234" s="3">
        <v>18.357379069936975</v>
      </c>
      <c r="R234" s="3">
        <v>10</v>
      </c>
      <c r="S234" s="4">
        <v>44949</v>
      </c>
      <c r="T234" s="4"/>
      <c r="U234" s="3" t="s">
        <v>75</v>
      </c>
      <c r="V234" s="10" t="s">
        <v>99</v>
      </c>
      <c r="W234" s="10">
        <v>6</v>
      </c>
      <c r="X234" s="10" t="s">
        <v>100</v>
      </c>
      <c r="Y234" s="10">
        <v>6</v>
      </c>
      <c r="Z234">
        <v>6</v>
      </c>
      <c r="AA234" t="s">
        <v>88</v>
      </c>
      <c r="AB234" t="s">
        <v>77</v>
      </c>
      <c r="AC234" s="3" t="s">
        <v>78</v>
      </c>
      <c r="AD234" s="3">
        <v>4</v>
      </c>
      <c r="AE234">
        <v>6</v>
      </c>
      <c r="AF234" t="s">
        <v>88</v>
      </c>
      <c r="AG234" t="s">
        <v>664</v>
      </c>
      <c r="AH234" s="17" t="s">
        <v>665</v>
      </c>
      <c r="AI234" t="s">
        <v>670</v>
      </c>
      <c r="AJ234" s="18" t="s">
        <v>671</v>
      </c>
      <c r="AO234" s="3">
        <v>4.4876449365796107</v>
      </c>
      <c r="AP234" s="3">
        <v>37</v>
      </c>
      <c r="AQ234" s="3">
        <f t="shared" si="47"/>
        <v>166.04286265344561</v>
      </c>
      <c r="BE234" s="3" t="s">
        <v>79</v>
      </c>
      <c r="BF234" s="3" t="s">
        <v>80</v>
      </c>
      <c r="BG234" s="3" t="s">
        <v>416</v>
      </c>
      <c r="BH234" s="3">
        <f t="shared" si="60"/>
        <v>2</v>
      </c>
      <c r="BI234" s="3" t="str">
        <f t="shared" si="54"/>
        <v>F6</v>
      </c>
      <c r="BJ234" s="3">
        <v>57</v>
      </c>
      <c r="BK234" s="3" t="str">
        <f t="shared" si="55"/>
        <v>H7</v>
      </c>
      <c r="BL234" s="3">
        <v>1.5</v>
      </c>
      <c r="BM234" s="3">
        <v>1.5</v>
      </c>
      <c r="BN234" s="3">
        <f t="shared" si="56"/>
        <v>4.4876449365796107</v>
      </c>
      <c r="BO234" s="3">
        <f t="shared" si="57"/>
        <v>2.9876449365796107</v>
      </c>
      <c r="BP234" s="3" t="s">
        <v>419</v>
      </c>
      <c r="BQ234">
        <v>7</v>
      </c>
      <c r="BR234" t="s">
        <v>92</v>
      </c>
      <c r="BS234" s="3">
        <v>1</v>
      </c>
      <c r="BT234" s="3" t="s">
        <v>418</v>
      </c>
      <c r="BU234" s="3">
        <v>2</v>
      </c>
      <c r="BV234" s="3" t="str">
        <f t="shared" si="58"/>
        <v>H7</v>
      </c>
      <c r="BW234" s="3">
        <f t="shared" si="59"/>
        <v>2.9876449365796107</v>
      </c>
      <c r="BX234" s="21" t="s">
        <v>417</v>
      </c>
      <c r="BY234" s="3" t="str">
        <f t="shared" si="48"/>
        <v>Och-C_DilutionPlate</v>
      </c>
      <c r="BZ234" s="3" t="str">
        <f t="shared" si="49"/>
        <v>H7</v>
      </c>
      <c r="CA234" s="3" t="str">
        <f t="shared" si="50"/>
        <v>Och-C</v>
      </c>
      <c r="CC234" s="3">
        <v>1.5</v>
      </c>
      <c r="CD234" t="s">
        <v>514</v>
      </c>
      <c r="CE234" s="21" t="str">
        <f t="shared" si="45"/>
        <v>OcC0801406F</v>
      </c>
      <c r="CF234" s="21" t="str">
        <f t="shared" si="51"/>
        <v>Och-CTum_014-Ex1-6F-lcwgs-1-1</v>
      </c>
      <c r="CG234" s="3">
        <f t="shared" ref="CG234:CG270" si="61">IF(ISNUMBER(BL234),(CC234/BN234)*BL234,CC234)</f>
        <v>0.50137656427758814</v>
      </c>
      <c r="CH234">
        <v>429743</v>
      </c>
      <c r="CI234">
        <v>347766</v>
      </c>
      <c r="CJ234" t="s">
        <v>79</v>
      </c>
      <c r="CK234" s="3">
        <v>0.4665267377082607</v>
      </c>
      <c r="CL234" t="s">
        <v>1202</v>
      </c>
      <c r="CM234" s="33" t="s">
        <v>1823</v>
      </c>
      <c r="CN234" s="3" t="str">
        <f t="shared" si="53"/>
        <v>Och-CTum_014-Ex1-6F-lcwgs-1-2</v>
      </c>
      <c r="CR234"/>
    </row>
    <row r="235" spans="1:96" x14ac:dyDescent="0.55000000000000004">
      <c r="A235" t="s">
        <v>121</v>
      </c>
      <c r="B235" t="s">
        <v>122</v>
      </c>
      <c r="C235" s="3">
        <v>1</v>
      </c>
      <c r="E235" t="s">
        <v>72</v>
      </c>
      <c r="F235" s="5">
        <v>3</v>
      </c>
      <c r="G235" s="5" t="s">
        <v>76</v>
      </c>
      <c r="H235" s="3">
        <v>10.869512635379063</v>
      </c>
      <c r="I235" s="3" t="s">
        <v>74</v>
      </c>
      <c r="J235" s="3">
        <v>0.1</v>
      </c>
      <c r="K235" s="3">
        <v>7.25</v>
      </c>
      <c r="L235" s="3">
        <v>0.33</v>
      </c>
      <c r="O235" s="3">
        <v>100</v>
      </c>
      <c r="P235" s="3">
        <v>9.2000445056304585</v>
      </c>
      <c r="R235" s="3">
        <v>10</v>
      </c>
      <c r="S235" s="4">
        <v>44949</v>
      </c>
      <c r="T235" s="4"/>
      <c r="U235" s="3" t="s">
        <v>75</v>
      </c>
      <c r="V235" s="10" t="s">
        <v>103</v>
      </c>
      <c r="W235" s="10">
        <v>6</v>
      </c>
      <c r="X235" s="10" t="s">
        <v>104</v>
      </c>
      <c r="Y235" s="10">
        <v>6</v>
      </c>
      <c r="Z235">
        <v>6</v>
      </c>
      <c r="AA235" t="s">
        <v>91</v>
      </c>
      <c r="AB235" t="s">
        <v>77</v>
      </c>
      <c r="AC235" s="3" t="s">
        <v>78</v>
      </c>
      <c r="AD235" s="3">
        <v>4</v>
      </c>
      <c r="AE235">
        <v>6</v>
      </c>
      <c r="AF235" t="s">
        <v>91</v>
      </c>
      <c r="AG235" t="s">
        <v>666</v>
      </c>
      <c r="AH235" s="17" t="s">
        <v>667</v>
      </c>
      <c r="AI235" t="s">
        <v>670</v>
      </c>
      <c r="AJ235" s="18" t="s">
        <v>671</v>
      </c>
      <c r="AO235" s="3">
        <v>3.3427764289442039</v>
      </c>
      <c r="AP235" s="3">
        <v>37</v>
      </c>
      <c r="AQ235" s="3">
        <f t="shared" si="47"/>
        <v>123.68272787093555</v>
      </c>
      <c r="BE235" s="3" t="s">
        <v>79</v>
      </c>
      <c r="BF235" s="3" t="s">
        <v>80</v>
      </c>
      <c r="BG235" s="3" t="s">
        <v>416</v>
      </c>
      <c r="BH235" s="3">
        <f t="shared" si="60"/>
        <v>2</v>
      </c>
      <c r="BI235" s="3" t="str">
        <f t="shared" si="54"/>
        <v>G6</v>
      </c>
      <c r="BJ235" s="3">
        <v>18</v>
      </c>
      <c r="BK235" s="3" t="str">
        <f t="shared" si="55"/>
        <v>A3</v>
      </c>
      <c r="BL235" s="3">
        <v>1.5</v>
      </c>
      <c r="BM235" s="3">
        <v>1.5</v>
      </c>
      <c r="BN235" s="3">
        <f t="shared" si="56"/>
        <v>3.3427764289442039</v>
      </c>
      <c r="BO235" s="3">
        <f t="shared" si="57"/>
        <v>1.8427764289442039</v>
      </c>
      <c r="BP235" s="3" t="s">
        <v>419</v>
      </c>
      <c r="BQ235">
        <v>3</v>
      </c>
      <c r="BR235" t="s">
        <v>73</v>
      </c>
      <c r="BS235" s="3">
        <v>1</v>
      </c>
      <c r="BT235" s="3" t="s">
        <v>418</v>
      </c>
      <c r="BU235" s="3">
        <v>2</v>
      </c>
      <c r="BV235" s="3" t="str">
        <f t="shared" si="58"/>
        <v>A3</v>
      </c>
      <c r="BW235" s="3">
        <f t="shared" si="59"/>
        <v>1.8427764289442039</v>
      </c>
      <c r="BX235" s="21" t="s">
        <v>417</v>
      </c>
      <c r="BY235" s="3" t="str">
        <f t="shared" si="48"/>
        <v>Och-C_DilutionPlate</v>
      </c>
      <c r="BZ235" s="3" t="str">
        <f t="shared" si="49"/>
        <v>A3</v>
      </c>
      <c r="CA235" s="3" t="str">
        <f t="shared" si="50"/>
        <v>Och-C</v>
      </c>
      <c r="CC235" s="3">
        <v>1.5</v>
      </c>
      <c r="CD235" t="s">
        <v>515</v>
      </c>
      <c r="CE235" s="21" t="str">
        <f t="shared" si="45"/>
        <v>OcC0801506G</v>
      </c>
      <c r="CF235" s="21" t="str">
        <f t="shared" si="51"/>
        <v>Och-CTum_015-Ex1-6G-lcwgs-1-1</v>
      </c>
      <c r="CG235" s="3">
        <f t="shared" si="61"/>
        <v>0.67309317503792776</v>
      </c>
      <c r="CH235">
        <v>102209</v>
      </c>
      <c r="CI235">
        <v>84869</v>
      </c>
      <c r="CJ235" t="s">
        <v>79</v>
      </c>
      <c r="CK235" s="3">
        <v>2.5827944734181321</v>
      </c>
      <c r="CL235" t="s">
        <v>1202</v>
      </c>
      <c r="CM235" s="33" t="s">
        <v>1824</v>
      </c>
      <c r="CN235" s="3" t="str">
        <f t="shared" si="53"/>
        <v>Och-CTum_015-Ex1-6G-lcwgs-1-2</v>
      </c>
      <c r="CR235"/>
    </row>
    <row r="236" spans="1:96" x14ac:dyDescent="0.55000000000000004">
      <c r="A236" t="s">
        <v>123</v>
      </c>
      <c r="B236" t="s">
        <v>124</v>
      </c>
      <c r="C236" s="3">
        <v>1</v>
      </c>
      <c r="E236" t="s">
        <v>72</v>
      </c>
      <c r="F236" s="5">
        <v>4</v>
      </c>
      <c r="G236" s="5" t="s">
        <v>76</v>
      </c>
      <c r="H236" s="3">
        <v>11.096340252707581</v>
      </c>
      <c r="I236" s="3" t="s">
        <v>74</v>
      </c>
      <c r="J236" s="3">
        <v>0.1</v>
      </c>
      <c r="K236" s="3">
        <v>7.25</v>
      </c>
      <c r="L236" s="3">
        <v>0.33</v>
      </c>
      <c r="O236" s="3">
        <v>100</v>
      </c>
      <c r="P236" s="3">
        <v>9.0119803216740166</v>
      </c>
      <c r="R236" s="3">
        <v>10</v>
      </c>
      <c r="S236" s="4">
        <v>44949</v>
      </c>
      <c r="T236" s="4"/>
      <c r="U236" s="3" t="s">
        <v>75</v>
      </c>
      <c r="V236" s="10" t="s">
        <v>107</v>
      </c>
      <c r="W236" s="10">
        <v>6</v>
      </c>
      <c r="X236" s="10" t="s">
        <v>108</v>
      </c>
      <c r="Y236" s="10">
        <v>6</v>
      </c>
      <c r="Z236">
        <v>6</v>
      </c>
      <c r="AA236" t="s">
        <v>92</v>
      </c>
      <c r="AB236" t="s">
        <v>77</v>
      </c>
      <c r="AC236" s="3" t="s">
        <v>78</v>
      </c>
      <c r="AD236" s="3">
        <v>4</v>
      </c>
      <c r="AE236">
        <v>6</v>
      </c>
      <c r="AF236" t="s">
        <v>92</v>
      </c>
      <c r="AG236" t="s">
        <v>668</v>
      </c>
      <c r="AH236" s="17" t="s">
        <v>669</v>
      </c>
      <c r="AI236" t="s">
        <v>670</v>
      </c>
      <c r="AJ236" s="18" t="s">
        <v>671</v>
      </c>
      <c r="AO236" s="3">
        <v>2.0611343060062173</v>
      </c>
      <c r="AP236" s="3">
        <v>37</v>
      </c>
      <c r="AQ236" s="3">
        <f t="shared" si="47"/>
        <v>76.261969322230044</v>
      </c>
      <c r="BE236" s="3" t="s">
        <v>79</v>
      </c>
      <c r="BF236" s="3" t="s">
        <v>80</v>
      </c>
      <c r="BG236" s="3" t="s">
        <v>416</v>
      </c>
      <c r="BH236" s="3">
        <f t="shared" si="60"/>
        <v>2</v>
      </c>
      <c r="BI236" s="3" t="str">
        <f t="shared" si="54"/>
        <v>H6</v>
      </c>
      <c r="BJ236" s="3">
        <v>1</v>
      </c>
      <c r="BK236" s="3" t="str">
        <f t="shared" si="55"/>
        <v>F6</v>
      </c>
      <c r="BL236" s="3">
        <v>1.5</v>
      </c>
      <c r="BM236" s="3">
        <v>1.5</v>
      </c>
      <c r="BN236" s="3">
        <f t="shared" si="56"/>
        <v>2.0611343060062173</v>
      </c>
      <c r="BO236" s="3">
        <f t="shared" si="57"/>
        <v>0.56113430600621728</v>
      </c>
      <c r="BP236" s="3" t="s">
        <v>420</v>
      </c>
      <c r="BQ236">
        <v>6</v>
      </c>
      <c r="BR236" t="s">
        <v>88</v>
      </c>
      <c r="BS236" s="3">
        <v>1</v>
      </c>
      <c r="BT236" s="3" t="s">
        <v>418</v>
      </c>
      <c r="BU236" s="3">
        <v>1</v>
      </c>
      <c r="BV236" s="3" t="str">
        <f t="shared" si="58"/>
        <v>F6</v>
      </c>
      <c r="BW236" s="3">
        <f t="shared" si="59"/>
        <v>0.56113430600621728</v>
      </c>
      <c r="BX236" s="21" t="s">
        <v>417</v>
      </c>
      <c r="BY236" s="3" t="str">
        <f t="shared" si="48"/>
        <v>Och-Mixed_Dilution Plate</v>
      </c>
      <c r="BZ236" s="3" t="str">
        <f t="shared" si="49"/>
        <v>F6</v>
      </c>
      <c r="CA236" s="3" t="str">
        <f t="shared" si="50"/>
        <v>Och-C</v>
      </c>
      <c r="CC236" s="3">
        <v>1.5</v>
      </c>
      <c r="CD236" t="s">
        <v>516</v>
      </c>
      <c r="CE236" s="21" t="str">
        <f t="shared" si="45"/>
        <v>OcC0801606H</v>
      </c>
      <c r="CF236" s="21" t="str">
        <f t="shared" si="51"/>
        <v>Och-CTum_016-Ex1-6H-lcwgs-1-1</v>
      </c>
      <c r="CG236" s="3">
        <f t="shared" si="61"/>
        <v>1.0916319200759608</v>
      </c>
      <c r="CH236">
        <v>71885</v>
      </c>
      <c r="CI236">
        <v>60391</v>
      </c>
      <c r="CJ236" t="s">
        <v>79</v>
      </c>
      <c r="CK236" s="3">
        <v>5.8901210743951502</v>
      </c>
      <c r="CL236" t="s">
        <v>1202</v>
      </c>
      <c r="CM236" s="33" t="s">
        <v>1825</v>
      </c>
      <c r="CN236" s="3" t="str">
        <f t="shared" si="53"/>
        <v>Och-CTum_016-Ex1-6H-lcwgs-1-2</v>
      </c>
      <c r="CR236"/>
    </row>
    <row r="237" spans="1:96" x14ac:dyDescent="0.55000000000000004">
      <c r="A237" t="s">
        <v>125</v>
      </c>
      <c r="B237" t="s">
        <v>126</v>
      </c>
      <c r="C237" s="3">
        <v>1</v>
      </c>
      <c r="E237" t="s">
        <v>72</v>
      </c>
      <c r="F237" s="5">
        <v>5</v>
      </c>
      <c r="G237" s="5" t="s">
        <v>76</v>
      </c>
      <c r="H237" s="3">
        <v>14.049629963898917</v>
      </c>
      <c r="I237" s="3" t="s">
        <v>74</v>
      </c>
      <c r="J237" s="3">
        <v>0.1</v>
      </c>
      <c r="K237" s="3">
        <v>7.25</v>
      </c>
      <c r="L237" s="3">
        <v>0.33</v>
      </c>
      <c r="O237" s="3">
        <v>100</v>
      </c>
      <c r="P237" s="3">
        <v>7.1176251799480825</v>
      </c>
      <c r="R237" s="3">
        <v>10</v>
      </c>
      <c r="S237" s="4">
        <v>44949</v>
      </c>
      <c r="T237" s="4"/>
      <c r="U237" s="3" t="s">
        <v>75</v>
      </c>
      <c r="V237" s="10" t="s">
        <v>73</v>
      </c>
      <c r="W237" s="10">
        <v>7</v>
      </c>
      <c r="X237" s="10" t="s">
        <v>76</v>
      </c>
      <c r="Y237" s="10">
        <v>7</v>
      </c>
      <c r="Z237">
        <v>7</v>
      </c>
      <c r="AA237" t="s">
        <v>73</v>
      </c>
      <c r="AB237" t="s">
        <v>77</v>
      </c>
      <c r="AC237" s="3" t="s">
        <v>78</v>
      </c>
      <c r="AD237" s="3">
        <v>4</v>
      </c>
      <c r="AE237">
        <v>7</v>
      </c>
      <c r="AF237" t="s">
        <v>73</v>
      </c>
      <c r="AG237" t="s">
        <v>652</v>
      </c>
      <c r="AH237" s="17" t="s">
        <v>653</v>
      </c>
      <c r="AI237" t="s">
        <v>672</v>
      </c>
      <c r="AJ237" s="18" t="s">
        <v>673</v>
      </c>
      <c r="AO237" s="3">
        <v>5.3362642100247335</v>
      </c>
      <c r="AP237" s="3">
        <v>37</v>
      </c>
      <c r="AQ237" s="3">
        <f t="shared" si="47"/>
        <v>197.44177577091514</v>
      </c>
      <c r="BE237" s="3" t="s">
        <v>79</v>
      </c>
      <c r="BF237" s="3" t="s">
        <v>80</v>
      </c>
      <c r="BG237" s="3" t="s">
        <v>416</v>
      </c>
      <c r="BH237" s="3">
        <f t="shared" si="60"/>
        <v>2</v>
      </c>
      <c r="BI237" s="3" t="str">
        <f t="shared" si="54"/>
        <v>A7</v>
      </c>
      <c r="BJ237" s="3">
        <v>69</v>
      </c>
      <c r="BK237" s="3" t="str">
        <f t="shared" si="55"/>
        <v>D9</v>
      </c>
      <c r="BL237" s="3">
        <v>1.5</v>
      </c>
      <c r="BM237" s="3">
        <v>1.5</v>
      </c>
      <c r="BN237" s="3">
        <f t="shared" si="56"/>
        <v>5.3362642100247335</v>
      </c>
      <c r="BO237" s="3">
        <f t="shared" si="57"/>
        <v>3.8362642100247335</v>
      </c>
      <c r="BP237" s="3" t="s">
        <v>419</v>
      </c>
      <c r="BQ237">
        <v>9</v>
      </c>
      <c r="BR237" t="s">
        <v>84</v>
      </c>
      <c r="BS237" s="3">
        <v>1</v>
      </c>
      <c r="BT237" s="3" t="s">
        <v>418</v>
      </c>
      <c r="BU237" s="3">
        <v>2</v>
      </c>
      <c r="BV237" s="3" t="str">
        <f t="shared" si="58"/>
        <v>D9</v>
      </c>
      <c r="BW237" s="3">
        <f t="shared" si="59"/>
        <v>3.8362642100247335</v>
      </c>
      <c r="BX237" s="21" t="s">
        <v>417</v>
      </c>
      <c r="BY237" s="3" t="str">
        <f t="shared" si="48"/>
        <v>Och-C_DilutionPlate</v>
      </c>
      <c r="BZ237" s="3" t="str">
        <f t="shared" si="49"/>
        <v>D9</v>
      </c>
      <c r="CA237" s="3" t="str">
        <f t="shared" si="50"/>
        <v>Och-C</v>
      </c>
      <c r="CC237" s="3">
        <v>1.5</v>
      </c>
      <c r="CD237" t="s">
        <v>517</v>
      </c>
      <c r="CE237" s="21" t="str">
        <f t="shared" si="45"/>
        <v>OcC0801707A</v>
      </c>
      <c r="CF237" s="21" t="str">
        <f t="shared" si="51"/>
        <v>Och-CTum_017-Ex1-7A-lcwgs-1-1</v>
      </c>
      <c r="CG237" s="3">
        <f t="shared" si="61"/>
        <v>0.42164329040776094</v>
      </c>
      <c r="CH237">
        <v>338015</v>
      </c>
      <c r="CI237">
        <v>273608</v>
      </c>
      <c r="CJ237" t="s">
        <v>79</v>
      </c>
      <c r="CK237" s="3">
        <v>0.49957134185890339</v>
      </c>
      <c r="CL237" t="s">
        <v>1202</v>
      </c>
      <c r="CM237" s="33" t="s">
        <v>1826</v>
      </c>
      <c r="CN237" s="3" t="str">
        <f t="shared" si="53"/>
        <v>Och-CTum_017-Ex1-7A-lcwgs-1-2</v>
      </c>
      <c r="CR237"/>
    </row>
    <row r="238" spans="1:96" x14ac:dyDescent="0.55000000000000004">
      <c r="A238" t="s">
        <v>127</v>
      </c>
      <c r="B238" t="s">
        <v>128</v>
      </c>
      <c r="C238" s="3">
        <v>1</v>
      </c>
      <c r="E238" t="s">
        <v>72</v>
      </c>
      <c r="F238" s="5">
        <v>6</v>
      </c>
      <c r="G238" s="5" t="s">
        <v>76</v>
      </c>
      <c r="H238" s="3">
        <v>12.842373646209388</v>
      </c>
      <c r="I238" s="3" t="s">
        <v>74</v>
      </c>
      <c r="J238" s="3">
        <v>0.1</v>
      </c>
      <c r="K238" s="3">
        <v>7.25</v>
      </c>
      <c r="L238" s="3">
        <v>0.33</v>
      </c>
      <c r="O238" s="3">
        <v>100</v>
      </c>
      <c r="P238" s="3">
        <v>7.7867225136777138</v>
      </c>
      <c r="R238" s="3">
        <v>10</v>
      </c>
      <c r="S238" s="4">
        <v>44949</v>
      </c>
      <c r="T238" s="4"/>
      <c r="U238" s="3" t="s">
        <v>75</v>
      </c>
      <c r="V238" s="10" t="s">
        <v>83</v>
      </c>
      <c r="W238" s="10">
        <v>7</v>
      </c>
      <c r="X238" s="10" t="s">
        <v>84</v>
      </c>
      <c r="Y238" s="10">
        <v>7</v>
      </c>
      <c r="Z238">
        <v>7</v>
      </c>
      <c r="AA238" t="s">
        <v>76</v>
      </c>
      <c r="AB238" t="s">
        <v>77</v>
      </c>
      <c r="AC238" s="3" t="s">
        <v>78</v>
      </c>
      <c r="AD238" s="3">
        <v>4</v>
      </c>
      <c r="AE238">
        <v>7</v>
      </c>
      <c r="AF238" t="s">
        <v>76</v>
      </c>
      <c r="AG238" t="s">
        <v>656</v>
      </c>
      <c r="AH238" s="17" t="s">
        <v>657</v>
      </c>
      <c r="AI238" t="s">
        <v>672</v>
      </c>
      <c r="AJ238" s="18" t="s">
        <v>673</v>
      </c>
      <c r="AO238" s="3">
        <v>2.9607394885525631</v>
      </c>
      <c r="AP238" s="3">
        <v>37</v>
      </c>
      <c r="AQ238" s="3">
        <f t="shared" si="47"/>
        <v>109.54736107644483</v>
      </c>
      <c r="BE238" s="3" t="s">
        <v>79</v>
      </c>
      <c r="BF238" s="3" t="s">
        <v>80</v>
      </c>
      <c r="BG238" s="3" t="s">
        <v>416</v>
      </c>
      <c r="BH238" s="3">
        <f t="shared" si="60"/>
        <v>2</v>
      </c>
      <c r="BI238" s="3" t="str">
        <f t="shared" si="54"/>
        <v>B7</v>
      </c>
      <c r="BJ238" s="3">
        <v>5</v>
      </c>
      <c r="BK238" s="3" t="str">
        <f t="shared" si="55"/>
        <v>D1</v>
      </c>
      <c r="BL238" s="3">
        <v>1.5</v>
      </c>
      <c r="BM238" s="3">
        <v>1.5</v>
      </c>
      <c r="BN238" s="3">
        <f t="shared" si="56"/>
        <v>2.9607394885525635</v>
      </c>
      <c r="BO238" s="3">
        <f t="shared" si="57"/>
        <v>1.4607394885525635</v>
      </c>
      <c r="BP238" s="3" t="s">
        <v>419</v>
      </c>
      <c r="BQ238">
        <v>1</v>
      </c>
      <c r="BR238" t="s">
        <v>84</v>
      </c>
      <c r="BS238" s="3">
        <v>1</v>
      </c>
      <c r="BT238" s="3" t="s">
        <v>418</v>
      </c>
      <c r="BU238" s="3">
        <v>2</v>
      </c>
      <c r="BV238" s="3" t="str">
        <f t="shared" si="58"/>
        <v>D1</v>
      </c>
      <c r="BW238" s="3">
        <f t="shared" si="59"/>
        <v>1.4607394885525635</v>
      </c>
      <c r="BX238" s="21" t="s">
        <v>417</v>
      </c>
      <c r="BY238" s="3" t="str">
        <f t="shared" si="48"/>
        <v>Och-C_DilutionPlate</v>
      </c>
      <c r="BZ238" s="3" t="str">
        <f t="shared" si="49"/>
        <v>D1</v>
      </c>
      <c r="CA238" s="3" t="str">
        <f t="shared" si="50"/>
        <v>Och-C</v>
      </c>
      <c r="CC238" s="3">
        <v>1.5</v>
      </c>
      <c r="CD238" t="s">
        <v>518</v>
      </c>
      <c r="CE238" s="21" t="str">
        <f t="shared" si="45"/>
        <v>OcC0801807B</v>
      </c>
      <c r="CF238" s="21" t="str">
        <f t="shared" si="51"/>
        <v>Och-CTum_018-Ex1-7B-lcwgs-1-1</v>
      </c>
      <c r="CG238" s="3">
        <f t="shared" si="61"/>
        <v>0.75994528012323448</v>
      </c>
      <c r="CH238">
        <v>118510</v>
      </c>
      <c r="CI238">
        <v>100557</v>
      </c>
      <c r="CJ238" t="s">
        <v>79</v>
      </c>
      <c r="CK238" s="3">
        <v>2.4601937350639993</v>
      </c>
      <c r="CL238" t="s">
        <v>1202</v>
      </c>
      <c r="CM238" s="33" t="s">
        <v>1827</v>
      </c>
      <c r="CN238" s="3" t="str">
        <f t="shared" si="53"/>
        <v>Och-CTum_018-Ex1-7B-lcwgs-1-2</v>
      </c>
      <c r="CR238"/>
    </row>
    <row r="239" spans="1:96" x14ac:dyDescent="0.55000000000000004">
      <c r="A239" t="s">
        <v>129</v>
      </c>
      <c r="B239" t="s">
        <v>130</v>
      </c>
      <c r="C239" s="3">
        <v>1</v>
      </c>
      <c r="E239" t="s">
        <v>72</v>
      </c>
      <c r="F239" s="5">
        <v>7</v>
      </c>
      <c r="G239" s="5" t="s">
        <v>76</v>
      </c>
      <c r="H239" s="3">
        <v>4.5293637184115525</v>
      </c>
      <c r="I239" s="3" t="s">
        <v>74</v>
      </c>
      <c r="J239" s="3">
        <v>0.1</v>
      </c>
      <c r="K239" s="3">
        <v>7.25</v>
      </c>
      <c r="L239" s="3">
        <v>0.33</v>
      </c>
      <c r="O239" s="3">
        <v>100</v>
      </c>
      <c r="P239" s="3">
        <v>22.078156274689725</v>
      </c>
      <c r="R239" s="3">
        <v>10</v>
      </c>
      <c r="S239" s="4">
        <v>44949</v>
      </c>
      <c r="T239" s="4"/>
      <c r="U239" s="3" t="s">
        <v>75</v>
      </c>
      <c r="V239" s="10" t="s">
        <v>87</v>
      </c>
      <c r="W239" s="10">
        <v>7</v>
      </c>
      <c r="X239" s="10" t="s">
        <v>88</v>
      </c>
      <c r="Y239" s="10">
        <v>7</v>
      </c>
      <c r="Z239">
        <v>7</v>
      </c>
      <c r="AA239" t="s">
        <v>83</v>
      </c>
      <c r="AB239" t="s">
        <v>77</v>
      </c>
      <c r="AC239" s="3" t="s">
        <v>78</v>
      </c>
      <c r="AD239" s="3">
        <v>4</v>
      </c>
      <c r="AE239">
        <v>7</v>
      </c>
      <c r="AF239" t="s">
        <v>83</v>
      </c>
      <c r="AG239" t="s">
        <v>658</v>
      </c>
      <c r="AH239" s="17" t="s">
        <v>659</v>
      </c>
      <c r="AI239" t="s">
        <v>672</v>
      </c>
      <c r="AJ239" s="18" t="s">
        <v>673</v>
      </c>
      <c r="AO239" s="3">
        <v>2.7150847496085864</v>
      </c>
      <c r="AP239" s="3">
        <v>37</v>
      </c>
      <c r="AQ239" s="3">
        <f t="shared" si="47"/>
        <v>100.4581357355177</v>
      </c>
      <c r="BE239" s="3" t="s">
        <v>79</v>
      </c>
      <c r="BF239" s="3" t="s">
        <v>80</v>
      </c>
      <c r="BG239" s="3" t="s">
        <v>416</v>
      </c>
      <c r="BH239" s="3">
        <f t="shared" si="60"/>
        <v>2</v>
      </c>
      <c r="BI239" s="3" t="str">
        <f t="shared" si="54"/>
        <v>C7</v>
      </c>
      <c r="BJ239" s="3">
        <v>1</v>
      </c>
      <c r="BK239" s="3" t="str">
        <f t="shared" si="55"/>
        <v>B8</v>
      </c>
      <c r="BL239" s="3">
        <v>1.5</v>
      </c>
      <c r="BM239" s="3">
        <v>1.5</v>
      </c>
      <c r="BN239" s="3">
        <f t="shared" si="56"/>
        <v>2.7150847496085864</v>
      </c>
      <c r="BO239" s="3">
        <f t="shared" si="57"/>
        <v>1.2150847496085864</v>
      </c>
      <c r="BP239" s="3" t="s">
        <v>420</v>
      </c>
      <c r="BQ239">
        <v>8</v>
      </c>
      <c r="BR239" t="s">
        <v>76</v>
      </c>
      <c r="BS239" s="3">
        <v>1</v>
      </c>
      <c r="BT239" s="3" t="s">
        <v>418</v>
      </c>
      <c r="BU239" s="3">
        <v>1</v>
      </c>
      <c r="BV239" s="3" t="str">
        <f t="shared" si="58"/>
        <v>B8</v>
      </c>
      <c r="BW239" s="3">
        <f t="shared" si="59"/>
        <v>1.2150847496085864</v>
      </c>
      <c r="BX239" s="21" t="s">
        <v>417</v>
      </c>
      <c r="BY239" s="3" t="str">
        <f t="shared" si="48"/>
        <v>Och-Mixed_Dilution Plate</v>
      </c>
      <c r="BZ239" s="3" t="str">
        <f t="shared" si="49"/>
        <v>B8</v>
      </c>
      <c r="CA239" s="3" t="str">
        <f t="shared" si="50"/>
        <v>Och-C</v>
      </c>
      <c r="CC239" s="3">
        <v>1.5</v>
      </c>
      <c r="CD239" t="s">
        <v>519</v>
      </c>
      <c r="CE239" s="21" t="str">
        <f t="shared" si="45"/>
        <v>OcC0801907C</v>
      </c>
      <c r="CF239" s="21" t="str">
        <f t="shared" si="51"/>
        <v>Och-CTum_019-Ex1-7C-lcwgs-1-1</v>
      </c>
      <c r="CG239" s="3">
        <f t="shared" si="61"/>
        <v>0.82870341352120436</v>
      </c>
      <c r="CH239">
        <v>43327</v>
      </c>
      <c r="CI239">
        <v>37969</v>
      </c>
      <c r="CJ239" t="s">
        <v>79</v>
      </c>
      <c r="CK239" s="3">
        <v>7.1158204466881383</v>
      </c>
      <c r="CL239" t="s">
        <v>1202</v>
      </c>
      <c r="CM239" s="33" t="s">
        <v>1828</v>
      </c>
      <c r="CN239" s="3" t="str">
        <f t="shared" si="53"/>
        <v>Och-CTum_019-Ex1-7C-lcwgs-1-2</v>
      </c>
      <c r="CR239"/>
    </row>
    <row r="240" spans="1:96" x14ac:dyDescent="0.55000000000000004">
      <c r="A240" t="s">
        <v>131</v>
      </c>
      <c r="B240" t="s">
        <v>132</v>
      </c>
      <c r="C240" s="3">
        <v>1</v>
      </c>
      <c r="E240" t="s">
        <v>72</v>
      </c>
      <c r="F240" s="5">
        <v>8</v>
      </c>
      <c r="G240" s="5" t="s">
        <v>76</v>
      </c>
      <c r="H240" s="3">
        <v>5.2799909747292419</v>
      </c>
      <c r="I240" s="3" t="s">
        <v>74</v>
      </c>
      <c r="J240" s="3">
        <v>0.1</v>
      </c>
      <c r="K240" s="3">
        <v>7.25</v>
      </c>
      <c r="L240" s="3">
        <v>0.33</v>
      </c>
      <c r="O240" s="3">
        <v>100</v>
      </c>
      <c r="P240" s="3">
        <v>18.939426313153501</v>
      </c>
      <c r="R240" s="3">
        <v>10</v>
      </c>
      <c r="S240" s="4">
        <v>44949</v>
      </c>
      <c r="T240" s="4"/>
      <c r="U240" s="3" t="s">
        <v>75</v>
      </c>
      <c r="V240" s="10" t="s">
        <v>91</v>
      </c>
      <c r="W240" s="10">
        <v>7</v>
      </c>
      <c r="X240" s="10" t="s">
        <v>92</v>
      </c>
      <c r="Y240" s="10">
        <v>7</v>
      </c>
      <c r="Z240">
        <v>7</v>
      </c>
      <c r="AA240" t="s">
        <v>84</v>
      </c>
      <c r="AB240" t="s">
        <v>77</v>
      </c>
      <c r="AC240" s="3" t="s">
        <v>78</v>
      </c>
      <c r="AD240" s="3">
        <v>4</v>
      </c>
      <c r="AE240">
        <v>7</v>
      </c>
      <c r="AF240" t="s">
        <v>84</v>
      </c>
      <c r="AG240" t="s">
        <v>660</v>
      </c>
      <c r="AH240" s="17" t="s">
        <v>661</v>
      </c>
      <c r="AI240" t="s">
        <v>672</v>
      </c>
      <c r="AJ240" s="18" t="s">
        <v>673</v>
      </c>
      <c r="AO240" s="3">
        <v>3.103004243153094</v>
      </c>
      <c r="AP240" s="3">
        <v>37</v>
      </c>
      <c r="AQ240" s="3">
        <f t="shared" si="47"/>
        <v>114.81115699666448</v>
      </c>
      <c r="BE240" s="3" t="s">
        <v>79</v>
      </c>
      <c r="BF240" s="3" t="s">
        <v>80</v>
      </c>
      <c r="BG240" s="3" t="s">
        <v>416</v>
      </c>
      <c r="BH240" s="3">
        <f t="shared" si="60"/>
        <v>2</v>
      </c>
      <c r="BI240" s="3" t="str">
        <f t="shared" si="54"/>
        <v>D7</v>
      </c>
      <c r="BJ240" s="3">
        <v>10</v>
      </c>
      <c r="BK240" s="3" t="str">
        <f t="shared" si="55"/>
        <v>A2</v>
      </c>
      <c r="BL240" s="3">
        <v>1.5</v>
      </c>
      <c r="BM240" s="3">
        <v>1.5</v>
      </c>
      <c r="BN240" s="3">
        <f t="shared" si="56"/>
        <v>3.103004243153094</v>
      </c>
      <c r="BO240" s="3">
        <f t="shared" si="57"/>
        <v>1.603004243153094</v>
      </c>
      <c r="BP240" s="3" t="s">
        <v>419</v>
      </c>
      <c r="BQ240">
        <v>2</v>
      </c>
      <c r="BR240" t="s">
        <v>73</v>
      </c>
      <c r="BS240" s="3">
        <v>1</v>
      </c>
      <c r="BT240" s="3" t="s">
        <v>418</v>
      </c>
      <c r="BU240" s="3">
        <v>2</v>
      </c>
      <c r="BV240" s="3" t="str">
        <f t="shared" si="58"/>
        <v>A2</v>
      </c>
      <c r="BW240" s="3">
        <f t="shared" si="59"/>
        <v>1.603004243153094</v>
      </c>
      <c r="BX240" s="21" t="s">
        <v>417</v>
      </c>
      <c r="BY240" s="3" t="str">
        <f t="shared" si="48"/>
        <v>Och-C_DilutionPlate</v>
      </c>
      <c r="BZ240" s="3" t="str">
        <f t="shared" si="49"/>
        <v>A2</v>
      </c>
      <c r="CA240" s="3" t="str">
        <f t="shared" si="50"/>
        <v>Och-C</v>
      </c>
      <c r="CC240" s="3">
        <v>1.5</v>
      </c>
      <c r="CD240" t="s">
        <v>520</v>
      </c>
      <c r="CE240" s="21" t="str">
        <f t="shared" si="45"/>
        <v>OcC0802007D</v>
      </c>
      <c r="CF240" s="21" t="str">
        <f t="shared" si="51"/>
        <v>Och-CTum_020-Ex1-7D-lcwgs-1-1</v>
      </c>
      <c r="CG240" s="3">
        <f t="shared" si="61"/>
        <v>0.72510374581817516</v>
      </c>
      <c r="CH240">
        <v>1423319</v>
      </c>
      <c r="CI240">
        <v>1176576</v>
      </c>
      <c r="CJ240" t="s">
        <v>79</v>
      </c>
      <c r="CK240" s="3">
        <v>0.19541084139605858</v>
      </c>
      <c r="CL240" t="s">
        <v>1202</v>
      </c>
      <c r="CM240" s="33" t="s">
        <v>1829</v>
      </c>
      <c r="CN240" s="3" t="str">
        <f t="shared" si="53"/>
        <v>Och-CTum_020-Ex1-7D-lcwgs-1-2</v>
      </c>
      <c r="CR240"/>
    </row>
    <row r="241" spans="1:96" x14ac:dyDescent="0.55000000000000004">
      <c r="A241" t="s">
        <v>133</v>
      </c>
      <c r="B241" t="s">
        <v>134</v>
      </c>
      <c r="C241" s="3">
        <v>1</v>
      </c>
      <c r="E241" t="s">
        <v>72</v>
      </c>
      <c r="F241" s="5">
        <v>9</v>
      </c>
      <c r="G241" s="5" t="s">
        <v>76</v>
      </c>
      <c r="H241" s="3">
        <v>5.4362906137184108</v>
      </c>
      <c r="I241" s="3" t="s">
        <v>74</v>
      </c>
      <c r="J241" s="3">
        <v>0.1</v>
      </c>
      <c r="K241" s="3">
        <v>7.25</v>
      </c>
      <c r="L241" s="3">
        <v>0.33</v>
      </c>
      <c r="O241" s="3">
        <v>100</v>
      </c>
      <c r="P241" s="3">
        <v>18.394895914440493</v>
      </c>
      <c r="R241" s="3">
        <v>10</v>
      </c>
      <c r="S241" s="4">
        <v>44949</v>
      </c>
      <c r="T241" s="4"/>
      <c r="U241" s="3" t="s">
        <v>75</v>
      </c>
      <c r="V241" s="10" t="s">
        <v>95</v>
      </c>
      <c r="W241" s="10">
        <v>7</v>
      </c>
      <c r="X241" s="10" t="s">
        <v>96</v>
      </c>
      <c r="Y241" s="10">
        <v>7</v>
      </c>
      <c r="Z241">
        <v>7</v>
      </c>
      <c r="AA241" t="s">
        <v>87</v>
      </c>
      <c r="AB241" t="s">
        <v>77</v>
      </c>
      <c r="AC241" s="3" t="s">
        <v>78</v>
      </c>
      <c r="AD241" s="3">
        <v>4</v>
      </c>
      <c r="AE241">
        <v>7</v>
      </c>
      <c r="AF241" t="s">
        <v>87</v>
      </c>
      <c r="AG241" t="s">
        <v>662</v>
      </c>
      <c r="AH241" s="17" t="s">
        <v>663</v>
      </c>
      <c r="AI241" t="s">
        <v>672</v>
      </c>
      <c r="AJ241" s="18" t="s">
        <v>673</v>
      </c>
      <c r="AO241" s="3">
        <v>3.1451237775407863</v>
      </c>
      <c r="AP241" s="3">
        <v>37</v>
      </c>
      <c r="AQ241" s="3">
        <f t="shared" si="47"/>
        <v>116.36957976900909</v>
      </c>
      <c r="BE241" s="3" t="s">
        <v>79</v>
      </c>
      <c r="BF241" s="3" t="s">
        <v>80</v>
      </c>
      <c r="BG241" s="3" t="s">
        <v>416</v>
      </c>
      <c r="BH241" s="3">
        <f t="shared" si="60"/>
        <v>2</v>
      </c>
      <c r="BI241" s="3" t="str">
        <f t="shared" si="54"/>
        <v>E7</v>
      </c>
      <c r="BJ241" s="3">
        <v>12</v>
      </c>
      <c r="BK241" s="3" t="str">
        <f t="shared" si="55"/>
        <v>C2</v>
      </c>
      <c r="BL241" s="3">
        <v>1.5</v>
      </c>
      <c r="BM241" s="3">
        <v>1.5</v>
      </c>
      <c r="BN241" s="3">
        <f t="shared" si="56"/>
        <v>3.1451237775407868</v>
      </c>
      <c r="BO241" s="3">
        <f t="shared" si="57"/>
        <v>1.6451237775407868</v>
      </c>
      <c r="BP241" s="3" t="s">
        <v>419</v>
      </c>
      <c r="BQ241">
        <v>2</v>
      </c>
      <c r="BR241" t="s">
        <v>83</v>
      </c>
      <c r="BS241" s="3">
        <v>1</v>
      </c>
      <c r="BT241" s="3" t="s">
        <v>418</v>
      </c>
      <c r="BU241" s="3">
        <v>2</v>
      </c>
      <c r="BV241" s="3" t="str">
        <f t="shared" si="58"/>
        <v>C2</v>
      </c>
      <c r="BW241" s="3">
        <f t="shared" si="59"/>
        <v>1.6451237775407868</v>
      </c>
      <c r="BX241" s="21" t="s">
        <v>417</v>
      </c>
      <c r="BY241" s="3" t="str">
        <f t="shared" si="48"/>
        <v>Och-C_DilutionPlate</v>
      </c>
      <c r="BZ241" s="3" t="str">
        <f t="shared" si="49"/>
        <v>C2</v>
      </c>
      <c r="CA241" s="3" t="str">
        <f t="shared" si="50"/>
        <v>Och-C</v>
      </c>
      <c r="CC241" s="3">
        <v>1.5</v>
      </c>
      <c r="CD241" t="s">
        <v>521</v>
      </c>
      <c r="CE241" s="21" t="str">
        <f t="shared" si="45"/>
        <v>OcC0802107E</v>
      </c>
      <c r="CF241" s="21" t="str">
        <f t="shared" si="51"/>
        <v>Och-CTum_021-Ex1-7E-lcwgs-1-1</v>
      </c>
      <c r="CG241" s="3">
        <f t="shared" si="61"/>
        <v>0.71539314797947451</v>
      </c>
      <c r="CH241">
        <v>1565841</v>
      </c>
      <c r="CI241">
        <v>1292142</v>
      </c>
      <c r="CJ241" t="s">
        <v>79</v>
      </c>
      <c r="CK241" s="3">
        <v>0.17504804120675713</v>
      </c>
      <c r="CL241" t="s">
        <v>1202</v>
      </c>
      <c r="CM241" s="33" t="s">
        <v>1830</v>
      </c>
      <c r="CN241" s="3" t="str">
        <f t="shared" si="53"/>
        <v>Och-CTum_021-Ex1-7E-lcwgs-1-2</v>
      </c>
      <c r="CR241"/>
    </row>
    <row r="242" spans="1:96" x14ac:dyDescent="0.55000000000000004">
      <c r="A242" t="s">
        <v>135</v>
      </c>
      <c r="B242" t="s">
        <v>136</v>
      </c>
      <c r="C242" s="3">
        <v>1</v>
      </c>
      <c r="E242" t="s">
        <v>72</v>
      </c>
      <c r="F242" s="5">
        <v>10</v>
      </c>
      <c r="G242" s="5" t="s">
        <v>76</v>
      </c>
      <c r="H242" s="3">
        <v>8.5643953068592058</v>
      </c>
      <c r="I242" s="3" t="s">
        <v>74</v>
      </c>
      <c r="J242" s="3">
        <v>0.1</v>
      </c>
      <c r="K242" s="3">
        <v>7.25</v>
      </c>
      <c r="L242" s="3">
        <v>0.33</v>
      </c>
      <c r="O242" s="3">
        <v>100</v>
      </c>
      <c r="P242" s="3">
        <v>11.676247582816526</v>
      </c>
      <c r="R242" s="3">
        <v>10</v>
      </c>
      <c r="S242" s="4">
        <v>44949</v>
      </c>
      <c r="T242" s="4"/>
      <c r="U242" s="3" t="s">
        <v>75</v>
      </c>
      <c r="V242" s="10" t="s">
        <v>99</v>
      </c>
      <c r="W242" s="10">
        <v>7</v>
      </c>
      <c r="X242" s="10" t="s">
        <v>100</v>
      </c>
      <c r="Y242" s="10">
        <v>7</v>
      </c>
      <c r="Z242">
        <v>7</v>
      </c>
      <c r="AA242" t="s">
        <v>88</v>
      </c>
      <c r="AB242" t="s">
        <v>77</v>
      </c>
      <c r="AC242" s="3" t="s">
        <v>78</v>
      </c>
      <c r="AD242" s="3">
        <v>4</v>
      </c>
      <c r="AE242">
        <v>7</v>
      </c>
      <c r="AF242" t="s">
        <v>88</v>
      </c>
      <c r="AG242" t="s">
        <v>664</v>
      </c>
      <c r="AH242" s="17" t="s">
        <v>665</v>
      </c>
      <c r="AI242" t="s">
        <v>672</v>
      </c>
      <c r="AJ242" s="18" t="s">
        <v>673</v>
      </c>
      <c r="AO242" s="3">
        <v>3.6415273082072113</v>
      </c>
      <c r="AP242" s="3">
        <v>37</v>
      </c>
      <c r="AQ242" s="3">
        <f t="shared" si="47"/>
        <v>134.73651040366681</v>
      </c>
      <c r="BE242" s="3" t="s">
        <v>79</v>
      </c>
      <c r="BF242" s="3" t="s">
        <v>80</v>
      </c>
      <c r="BG242" s="3" t="s">
        <v>416</v>
      </c>
      <c r="BH242" s="3">
        <f t="shared" si="60"/>
        <v>2</v>
      </c>
      <c r="BI242" s="3" t="str">
        <f t="shared" si="54"/>
        <v>F7</v>
      </c>
      <c r="BJ242" s="3">
        <v>26</v>
      </c>
      <c r="BK242" s="3" t="str">
        <f t="shared" si="55"/>
        <v>A4</v>
      </c>
      <c r="BL242" s="3">
        <v>1.5</v>
      </c>
      <c r="BM242" s="3">
        <v>1.5</v>
      </c>
      <c r="BN242" s="3">
        <f t="shared" si="56"/>
        <v>3.6415273082072113</v>
      </c>
      <c r="BO242" s="3">
        <f t="shared" si="57"/>
        <v>2.1415273082072113</v>
      </c>
      <c r="BP242" s="3" t="s">
        <v>419</v>
      </c>
      <c r="BQ242">
        <v>4</v>
      </c>
      <c r="BR242" t="s">
        <v>73</v>
      </c>
      <c r="BS242" s="3">
        <v>1</v>
      </c>
      <c r="BT242" s="3" t="s">
        <v>418</v>
      </c>
      <c r="BU242" s="3">
        <v>2</v>
      </c>
      <c r="BV242" s="3" t="str">
        <f t="shared" si="58"/>
        <v>A4</v>
      </c>
      <c r="BW242" s="3">
        <f t="shared" si="59"/>
        <v>2.1415273082072113</v>
      </c>
      <c r="BX242" s="21" t="s">
        <v>417</v>
      </c>
      <c r="BY242" s="3" t="str">
        <f t="shared" si="48"/>
        <v>Och-C_DilutionPlate</v>
      </c>
      <c r="BZ242" s="3" t="str">
        <f t="shared" si="49"/>
        <v>A4</v>
      </c>
      <c r="CA242" s="3" t="str">
        <f t="shared" si="50"/>
        <v>Och-C</v>
      </c>
      <c r="CC242" s="3">
        <v>1.5</v>
      </c>
      <c r="CD242" t="s">
        <v>522</v>
      </c>
      <c r="CE242" s="21" t="str">
        <f t="shared" si="45"/>
        <v>OcC0802207F</v>
      </c>
      <c r="CF242" s="21" t="str">
        <f t="shared" si="51"/>
        <v>Och-CTum_022-Ex1-7F-lcwgs-1-1</v>
      </c>
      <c r="CG242" s="3">
        <f t="shared" si="61"/>
        <v>0.61787261485832845</v>
      </c>
      <c r="CH242">
        <v>101629</v>
      </c>
      <c r="CI242">
        <v>85449</v>
      </c>
      <c r="CJ242" t="s">
        <v>79</v>
      </c>
      <c r="CK242" s="3">
        <v>2.3547761583637739</v>
      </c>
      <c r="CL242" t="s">
        <v>1202</v>
      </c>
      <c r="CM242" s="33" t="s">
        <v>1831</v>
      </c>
      <c r="CN242" s="3" t="str">
        <f t="shared" si="53"/>
        <v>Och-CTum_022-Ex1-7F-lcwgs-1-2</v>
      </c>
      <c r="CR242"/>
    </row>
    <row r="243" spans="1:96" x14ac:dyDescent="0.55000000000000004">
      <c r="A243" t="s">
        <v>137</v>
      </c>
      <c r="B243" t="s">
        <v>138</v>
      </c>
      <c r="C243" s="3">
        <v>1</v>
      </c>
      <c r="E243" t="s">
        <v>72</v>
      </c>
      <c r="F243" s="5">
        <v>11</v>
      </c>
      <c r="G243" s="5" t="s">
        <v>76</v>
      </c>
      <c r="H243" s="3">
        <v>4.6419359205776169</v>
      </c>
      <c r="I243" s="3" t="s">
        <v>74</v>
      </c>
      <c r="J243" s="3">
        <v>0.1</v>
      </c>
      <c r="K243" s="3">
        <v>7.25</v>
      </c>
      <c r="L243" s="3">
        <v>0.33</v>
      </c>
      <c r="O243" s="3">
        <v>100</v>
      </c>
      <c r="P243" s="3">
        <v>21.542735985798906</v>
      </c>
      <c r="R243" s="3">
        <v>10</v>
      </c>
      <c r="S243" s="4">
        <v>44949</v>
      </c>
      <c r="T243" s="4"/>
      <c r="U243" s="3" t="s">
        <v>75</v>
      </c>
      <c r="V243" s="10" t="s">
        <v>103</v>
      </c>
      <c r="W243" s="10">
        <v>7</v>
      </c>
      <c r="X243" s="10" t="s">
        <v>104</v>
      </c>
      <c r="Y243" s="10">
        <v>7</v>
      </c>
      <c r="Z243">
        <v>7</v>
      </c>
      <c r="AA243" t="s">
        <v>91</v>
      </c>
      <c r="AB243" t="s">
        <v>77</v>
      </c>
      <c r="AC243" s="3" t="s">
        <v>78</v>
      </c>
      <c r="AD243" s="3">
        <v>4</v>
      </c>
      <c r="AE243">
        <v>7</v>
      </c>
      <c r="AF243" t="s">
        <v>91</v>
      </c>
      <c r="AG243" t="s">
        <v>666</v>
      </c>
      <c r="AH243" s="17" t="s">
        <v>667</v>
      </c>
      <c r="AI243" t="s">
        <v>672</v>
      </c>
      <c r="AJ243" s="18" t="s">
        <v>673</v>
      </c>
      <c r="AO243" s="3">
        <v>4.3837841210773529</v>
      </c>
      <c r="AP243" s="3">
        <v>37</v>
      </c>
      <c r="AQ243" s="3">
        <f t="shared" si="47"/>
        <v>162.20001247986207</v>
      </c>
      <c r="BE243" s="3" t="s">
        <v>79</v>
      </c>
      <c r="BF243" s="3" t="s">
        <v>80</v>
      </c>
      <c r="BG243" s="3" t="s">
        <v>416</v>
      </c>
      <c r="BH243" s="3">
        <f t="shared" si="60"/>
        <v>2</v>
      </c>
      <c r="BI243" s="3" t="str">
        <f t="shared" si="54"/>
        <v>G7</v>
      </c>
      <c r="BJ243" s="3">
        <v>55</v>
      </c>
      <c r="BK243" s="3" t="str">
        <f t="shared" si="55"/>
        <v>F7</v>
      </c>
      <c r="BL243" s="3">
        <v>1.5</v>
      </c>
      <c r="BM243" s="3">
        <v>1.5</v>
      </c>
      <c r="BN243" s="3">
        <f t="shared" si="56"/>
        <v>4.3837841210773529</v>
      </c>
      <c r="BO243" s="3">
        <f t="shared" si="57"/>
        <v>2.8837841210773529</v>
      </c>
      <c r="BP243" s="3" t="s">
        <v>419</v>
      </c>
      <c r="BQ243">
        <v>7</v>
      </c>
      <c r="BR243" t="s">
        <v>88</v>
      </c>
      <c r="BS243" s="3">
        <v>1</v>
      </c>
      <c r="BT243" s="3" t="s">
        <v>418</v>
      </c>
      <c r="BU243" s="3">
        <v>2</v>
      </c>
      <c r="BV243" s="3" t="str">
        <f t="shared" si="58"/>
        <v>F7</v>
      </c>
      <c r="BW243" s="3">
        <f t="shared" si="59"/>
        <v>2.8837841210773529</v>
      </c>
      <c r="BX243" s="21" t="s">
        <v>417</v>
      </c>
      <c r="BY243" s="3" t="str">
        <f t="shared" si="48"/>
        <v>Och-C_DilutionPlate</v>
      </c>
      <c r="BZ243" s="3" t="str">
        <f t="shared" si="49"/>
        <v>F7</v>
      </c>
      <c r="CA243" s="3" t="str">
        <f t="shared" si="50"/>
        <v>Och-C</v>
      </c>
      <c r="CC243" s="3">
        <v>1.5</v>
      </c>
      <c r="CD243" t="s">
        <v>523</v>
      </c>
      <c r="CE243" s="21" t="str">
        <f t="shared" si="45"/>
        <v>OcC0802307G</v>
      </c>
      <c r="CF243" s="21" t="str">
        <f t="shared" si="51"/>
        <v>Och-CTum_023-Ex1-7G-lcwgs-1-1</v>
      </c>
      <c r="CG243" s="3">
        <f t="shared" si="61"/>
        <v>0.51325520095342725</v>
      </c>
      <c r="CH243">
        <v>53487</v>
      </c>
      <c r="CI243">
        <v>46568</v>
      </c>
      <c r="CJ243" t="s">
        <v>79</v>
      </c>
      <c r="CK243" s="3">
        <v>3.5926156234432001</v>
      </c>
      <c r="CL243" t="s">
        <v>1202</v>
      </c>
      <c r="CM243" s="33" t="s">
        <v>1832</v>
      </c>
      <c r="CN243" s="3" t="str">
        <f t="shared" si="53"/>
        <v>Och-CTum_023-Ex1-7G-lcwgs-1-2</v>
      </c>
      <c r="CR243"/>
    </row>
    <row r="244" spans="1:96" x14ac:dyDescent="0.55000000000000004">
      <c r="A244" t="s">
        <v>139</v>
      </c>
      <c r="B244" t="s">
        <v>140</v>
      </c>
      <c r="C244" s="3">
        <v>1</v>
      </c>
      <c r="E244" t="s">
        <v>72</v>
      </c>
      <c r="F244" s="5">
        <v>12</v>
      </c>
      <c r="G244" s="5" t="s">
        <v>76</v>
      </c>
      <c r="H244" s="3">
        <v>5.1633574007220213</v>
      </c>
      <c r="I244" s="3" t="s">
        <v>74</v>
      </c>
      <c r="J244" s="3">
        <v>0.1</v>
      </c>
      <c r="K244" s="3">
        <v>7.25</v>
      </c>
      <c r="L244" s="3">
        <v>0.33</v>
      </c>
      <c r="O244" s="3">
        <v>100</v>
      </c>
      <c r="P244" s="3">
        <v>19.367243488900542</v>
      </c>
      <c r="R244" s="3">
        <v>10</v>
      </c>
      <c r="S244" s="4">
        <v>44949</v>
      </c>
      <c r="T244" s="4"/>
      <c r="U244" s="3" t="s">
        <v>75</v>
      </c>
      <c r="V244" s="10" t="s">
        <v>107</v>
      </c>
      <c r="W244" s="10">
        <v>7</v>
      </c>
      <c r="X244" s="10" t="s">
        <v>108</v>
      </c>
      <c r="Y244" s="10">
        <v>7</v>
      </c>
      <c r="Z244">
        <v>7</v>
      </c>
      <c r="AA244" t="s">
        <v>92</v>
      </c>
      <c r="AB244" t="s">
        <v>77</v>
      </c>
      <c r="AC244" s="3" t="s">
        <v>78</v>
      </c>
      <c r="AD244" s="3">
        <v>4</v>
      </c>
      <c r="AE244">
        <v>7</v>
      </c>
      <c r="AF244" t="s">
        <v>92</v>
      </c>
      <c r="AG244" t="s">
        <v>668</v>
      </c>
      <c r="AH244" s="17" t="s">
        <v>669</v>
      </c>
      <c r="AI244" t="s">
        <v>672</v>
      </c>
      <c r="AJ244" s="18" t="s">
        <v>673</v>
      </c>
      <c r="AO244" s="3">
        <v>1.1196648589775591</v>
      </c>
      <c r="AP244" s="3">
        <v>37</v>
      </c>
      <c r="AQ244" s="3">
        <f t="shared" si="47"/>
        <v>41.427599782169686</v>
      </c>
      <c r="BE244" s="3" t="s">
        <v>79</v>
      </c>
      <c r="BF244" s="3" t="s">
        <v>80</v>
      </c>
      <c r="BG244" s="3" t="s">
        <v>186</v>
      </c>
      <c r="BH244" s="3" t="s">
        <v>186</v>
      </c>
      <c r="BI244" s="3" t="s">
        <v>186</v>
      </c>
      <c r="BJ244" s="3" t="s">
        <v>186</v>
      </c>
      <c r="BK244" s="3" t="s">
        <v>186</v>
      </c>
      <c r="BL244" s="3" t="s">
        <v>186</v>
      </c>
      <c r="BM244" s="3" t="s">
        <v>186</v>
      </c>
      <c r="BN244" s="3" t="s">
        <v>186</v>
      </c>
      <c r="BO244" s="3" t="s">
        <v>186</v>
      </c>
      <c r="BP244" s="3" t="s">
        <v>186</v>
      </c>
      <c r="BQ244" s="3" t="s">
        <v>186</v>
      </c>
      <c r="BR244" s="3" t="s">
        <v>186</v>
      </c>
      <c r="BS244" s="3" t="s">
        <v>186</v>
      </c>
      <c r="BT244" s="3" t="s">
        <v>186</v>
      </c>
      <c r="BU244" s="3" t="s">
        <v>186</v>
      </c>
      <c r="BV244" s="3" t="s">
        <v>186</v>
      </c>
      <c r="BW244" s="3" t="s">
        <v>186</v>
      </c>
      <c r="BX244" s="21" t="s">
        <v>417</v>
      </c>
      <c r="BY244" s="3" t="str">
        <f t="shared" si="48"/>
        <v>PIRE-C_LibrariesforCapture_Jan2023-2</v>
      </c>
      <c r="BZ244" s="3" t="str">
        <f t="shared" si="49"/>
        <v>H7</v>
      </c>
      <c r="CA244" s="3" t="str">
        <f t="shared" si="50"/>
        <v>Och-C</v>
      </c>
      <c r="CC244" s="3">
        <v>1.5</v>
      </c>
      <c r="CD244" t="s">
        <v>524</v>
      </c>
      <c r="CE244" s="21" t="str">
        <f t="shared" si="45"/>
        <v>OcC0802407H</v>
      </c>
      <c r="CF244" s="21" t="str">
        <f t="shared" si="51"/>
        <v>Och-CTum_024-Ex1-7H-lcwgs-1-1</v>
      </c>
      <c r="CG244" s="3">
        <f t="shared" si="61"/>
        <v>1.5</v>
      </c>
      <c r="CH244">
        <v>55527</v>
      </c>
      <c r="CI244">
        <v>46566</v>
      </c>
      <c r="CJ244" t="s">
        <v>79</v>
      </c>
      <c r="CK244" s="3">
        <v>10.499952339814438</v>
      </c>
      <c r="CL244" t="s">
        <v>1202</v>
      </c>
      <c r="CM244" s="33" t="s">
        <v>1833</v>
      </c>
      <c r="CN244" s="3" t="str">
        <f t="shared" si="53"/>
        <v>Och-CTum_024-Ex1-7H-lcwgs-1-2</v>
      </c>
      <c r="CR244"/>
    </row>
    <row r="245" spans="1:96" x14ac:dyDescent="0.55000000000000004">
      <c r="A245" t="s">
        <v>141</v>
      </c>
      <c r="B245" t="s">
        <v>142</v>
      </c>
      <c r="C245" s="3">
        <v>1</v>
      </c>
      <c r="E245" t="s">
        <v>72</v>
      </c>
      <c r="F245" s="5">
        <v>1</v>
      </c>
      <c r="G245" s="5" t="s">
        <v>83</v>
      </c>
      <c r="H245" s="3">
        <v>9.9937409747292421</v>
      </c>
      <c r="I245" s="3" t="s">
        <v>74</v>
      </c>
      <c r="J245" s="3">
        <v>0.1</v>
      </c>
      <c r="K245" s="3">
        <v>7.25</v>
      </c>
      <c r="L245" s="3">
        <v>0.33</v>
      </c>
      <c r="O245" s="3">
        <v>100</v>
      </c>
      <c r="P245" s="3">
        <v>10.006262945264025</v>
      </c>
      <c r="R245" s="3">
        <v>10</v>
      </c>
      <c r="S245" s="4">
        <v>44949</v>
      </c>
      <c r="T245" s="4"/>
      <c r="U245" s="3" t="s">
        <v>75</v>
      </c>
      <c r="V245" s="10" t="s">
        <v>73</v>
      </c>
      <c r="W245" s="10">
        <v>8</v>
      </c>
      <c r="X245" s="10" t="s">
        <v>76</v>
      </c>
      <c r="Y245" s="10">
        <v>8</v>
      </c>
      <c r="Z245">
        <v>8</v>
      </c>
      <c r="AA245" t="s">
        <v>73</v>
      </c>
      <c r="AB245" t="s">
        <v>77</v>
      </c>
      <c r="AC245" s="3" t="s">
        <v>78</v>
      </c>
      <c r="AD245" s="3">
        <v>4</v>
      </c>
      <c r="AE245">
        <v>8</v>
      </c>
      <c r="AF245" t="s">
        <v>73</v>
      </c>
      <c r="AG245" t="s">
        <v>652</v>
      </c>
      <c r="AH245" s="17" t="s">
        <v>653</v>
      </c>
      <c r="AI245" t="s">
        <v>674</v>
      </c>
      <c r="AJ245" s="18" t="s">
        <v>675</v>
      </c>
      <c r="AO245" s="3">
        <v>2.9290349663043727</v>
      </c>
      <c r="AP245" s="3">
        <v>37</v>
      </c>
      <c r="AQ245" s="3">
        <f t="shared" si="47"/>
        <v>108.37429375326178</v>
      </c>
      <c r="BE245" s="3" t="s">
        <v>79</v>
      </c>
      <c r="BF245" s="3" t="s">
        <v>80</v>
      </c>
      <c r="BG245" s="3" t="s">
        <v>416</v>
      </c>
      <c r="BH245" s="3">
        <f t="shared" ref="BH245:BH268" si="62">IF(AB245="PIRE-C_LibrariesforCapture_Jan2023-2",2,3)</f>
        <v>2</v>
      </c>
      <c r="BI245" s="3" t="str">
        <f t="shared" ref="BI245:BI268" si="63">AA245&amp;Z245</f>
        <v>A8</v>
      </c>
      <c r="BJ245" s="3">
        <v>3</v>
      </c>
      <c r="BK245" s="3" t="str">
        <f t="shared" ref="BK245:BK268" si="64">BR245&amp;BQ245</f>
        <v>B1</v>
      </c>
      <c r="BL245" s="3">
        <v>1.5</v>
      </c>
      <c r="BM245" s="3">
        <v>1.5</v>
      </c>
      <c r="BN245" s="3">
        <f t="shared" ref="BN245:BN268" si="65">AO245*BL245/BM245</f>
        <v>2.9290349663043727</v>
      </c>
      <c r="BO245" s="3">
        <f t="shared" ref="BO245:BO268" si="66">BN245-BL245</f>
        <v>1.4290349663043727</v>
      </c>
      <c r="BP245" s="3" t="s">
        <v>419</v>
      </c>
      <c r="BQ245">
        <v>1</v>
      </c>
      <c r="BR245" t="s">
        <v>76</v>
      </c>
      <c r="BS245" s="3">
        <v>1</v>
      </c>
      <c r="BT245" s="3" t="s">
        <v>418</v>
      </c>
      <c r="BU245" s="3">
        <v>2</v>
      </c>
      <c r="BV245" s="3" t="str">
        <f t="shared" ref="BV245:BV268" si="67">BR245&amp;BQ245</f>
        <v>B1</v>
      </c>
      <c r="BW245" s="3">
        <f t="shared" ref="BW245:BW268" si="68">BO245</f>
        <v>1.4290349663043727</v>
      </c>
      <c r="BX245" s="21" t="s">
        <v>417</v>
      </c>
      <c r="BY245" s="3" t="str">
        <f t="shared" si="48"/>
        <v>Och-C_DilutionPlate</v>
      </c>
      <c r="BZ245" s="3" t="str">
        <f t="shared" si="49"/>
        <v>B1</v>
      </c>
      <c r="CA245" s="3" t="str">
        <f t="shared" si="50"/>
        <v>Och-C</v>
      </c>
      <c r="CC245" s="3">
        <v>1.5</v>
      </c>
      <c r="CD245" t="s">
        <v>525</v>
      </c>
      <c r="CE245" s="21" t="str">
        <f t="shared" si="45"/>
        <v>OcC0802508A</v>
      </c>
      <c r="CF245" s="21" t="str">
        <f t="shared" si="51"/>
        <v>Och-CTum_025-Ex1-8A-lcwgs-1-1</v>
      </c>
      <c r="CG245" s="3">
        <f t="shared" si="61"/>
        <v>0.76817109590155364</v>
      </c>
      <c r="CH245">
        <v>52069</v>
      </c>
      <c r="CI245">
        <v>43741</v>
      </c>
      <c r="CJ245" t="s">
        <v>79</v>
      </c>
      <c r="CK245" s="3">
        <v>5.7248463673417405</v>
      </c>
      <c r="CL245" t="s">
        <v>1202</v>
      </c>
      <c r="CM245" s="33" t="s">
        <v>1834</v>
      </c>
      <c r="CN245" s="3" t="str">
        <f t="shared" si="53"/>
        <v>Och-CTum_025-Ex1-8A-lcwgs-1-2</v>
      </c>
      <c r="CR245"/>
    </row>
    <row r="246" spans="1:96" x14ac:dyDescent="0.55000000000000004">
      <c r="A246" t="s">
        <v>143</v>
      </c>
      <c r="B246" t="s">
        <v>144</v>
      </c>
      <c r="C246" s="3">
        <v>1</v>
      </c>
      <c r="E246" t="s">
        <v>72</v>
      </c>
      <c r="F246" s="5">
        <v>2</v>
      </c>
      <c r="G246" s="5" t="s">
        <v>83</v>
      </c>
      <c r="H246" s="3">
        <v>19.717026173285198</v>
      </c>
      <c r="I246" s="3" t="s">
        <v>74</v>
      </c>
      <c r="J246" s="3">
        <v>0.1</v>
      </c>
      <c r="K246" s="3">
        <v>7.25</v>
      </c>
      <c r="L246" s="3">
        <v>0.33</v>
      </c>
      <c r="O246" s="3">
        <v>100</v>
      </c>
      <c r="P246" s="3">
        <v>5.0717587490699296</v>
      </c>
      <c r="R246" s="3">
        <v>10</v>
      </c>
      <c r="S246" s="4">
        <v>44949</v>
      </c>
      <c r="T246" s="4"/>
      <c r="U246" s="3" t="s">
        <v>75</v>
      </c>
      <c r="V246" s="10" t="s">
        <v>83</v>
      </c>
      <c r="W246" s="10">
        <v>8</v>
      </c>
      <c r="X246" s="10" t="s">
        <v>84</v>
      </c>
      <c r="Y246" s="10">
        <v>8</v>
      </c>
      <c r="Z246">
        <v>8</v>
      </c>
      <c r="AA246" t="s">
        <v>76</v>
      </c>
      <c r="AB246" t="s">
        <v>77</v>
      </c>
      <c r="AC246" s="3" t="s">
        <v>78</v>
      </c>
      <c r="AD246" s="3">
        <v>4</v>
      </c>
      <c r="AE246">
        <v>8</v>
      </c>
      <c r="AF246" t="s">
        <v>76</v>
      </c>
      <c r="AG246" t="s">
        <v>656</v>
      </c>
      <c r="AH246" s="17" t="s">
        <v>657</v>
      </c>
      <c r="AI246" t="s">
        <v>674</v>
      </c>
      <c r="AJ246" s="18" t="s">
        <v>675</v>
      </c>
      <c r="AO246" s="3">
        <v>2.342141090513036</v>
      </c>
      <c r="AP246" s="3">
        <v>37</v>
      </c>
      <c r="AQ246" s="3">
        <f t="shared" si="47"/>
        <v>86.659220348982331</v>
      </c>
      <c r="BE246" s="3" t="s">
        <v>79</v>
      </c>
      <c r="BF246" s="3" t="s">
        <v>80</v>
      </c>
      <c r="BG246" s="3" t="s">
        <v>416</v>
      </c>
      <c r="BH246" s="3">
        <f t="shared" si="62"/>
        <v>2</v>
      </c>
      <c r="BI246" s="3" t="str">
        <f t="shared" si="63"/>
        <v>B8</v>
      </c>
      <c r="BJ246" s="3">
        <v>1</v>
      </c>
      <c r="BK246" s="3" t="str">
        <f t="shared" si="64"/>
        <v>D7</v>
      </c>
      <c r="BL246" s="3">
        <v>1.5</v>
      </c>
      <c r="BM246" s="3">
        <v>1.5</v>
      </c>
      <c r="BN246" s="3">
        <f t="shared" si="65"/>
        <v>2.342141090513036</v>
      </c>
      <c r="BO246" s="3">
        <f t="shared" si="66"/>
        <v>0.84214109051303598</v>
      </c>
      <c r="BP246" s="3" t="s">
        <v>420</v>
      </c>
      <c r="BQ246">
        <v>7</v>
      </c>
      <c r="BR246" t="s">
        <v>84</v>
      </c>
      <c r="BS246" s="3">
        <v>1</v>
      </c>
      <c r="BT246" s="3" t="s">
        <v>418</v>
      </c>
      <c r="BU246" s="3">
        <v>1</v>
      </c>
      <c r="BV246" s="3" t="str">
        <f t="shared" si="67"/>
        <v>D7</v>
      </c>
      <c r="BW246" s="3">
        <f t="shared" si="68"/>
        <v>0.84214109051303598</v>
      </c>
      <c r="BX246" s="21" t="s">
        <v>417</v>
      </c>
      <c r="BY246" s="3" t="str">
        <f t="shared" si="48"/>
        <v>Och-Mixed_Dilution Plate</v>
      </c>
      <c r="BZ246" s="3" t="str">
        <f t="shared" si="49"/>
        <v>D7</v>
      </c>
      <c r="CA246" s="3" t="str">
        <f t="shared" si="50"/>
        <v>Och-C</v>
      </c>
      <c r="CC246" s="3">
        <v>1.5</v>
      </c>
      <c r="CD246" t="s">
        <v>526</v>
      </c>
      <c r="CE246" s="21" t="str">
        <f t="shared" si="45"/>
        <v>OcC0802608B</v>
      </c>
      <c r="CF246" s="21" t="str">
        <f t="shared" si="51"/>
        <v>Och-CTum_026-Ex1-8B-lcwgs-1-1</v>
      </c>
      <c r="CG246" s="3">
        <f t="shared" si="61"/>
        <v>0.96065946202546959</v>
      </c>
      <c r="CH246">
        <v>66897</v>
      </c>
      <c r="CI246">
        <v>56340</v>
      </c>
      <c r="CJ246" t="s">
        <v>79</v>
      </c>
      <c r="CK246" s="3">
        <v>5.5566784870546782</v>
      </c>
      <c r="CL246" t="s">
        <v>1202</v>
      </c>
      <c r="CM246" s="33" t="s">
        <v>1835</v>
      </c>
      <c r="CN246" s="3" t="str">
        <f t="shared" si="53"/>
        <v>Och-CTum_026-Ex1-8B-lcwgs-1-2</v>
      </c>
      <c r="CR246"/>
    </row>
    <row r="247" spans="1:96" x14ac:dyDescent="0.55000000000000004">
      <c r="A247" t="s">
        <v>145</v>
      </c>
      <c r="B247" t="s">
        <v>146</v>
      </c>
      <c r="C247" s="3">
        <v>1</v>
      </c>
      <c r="E247" t="s">
        <v>72</v>
      </c>
      <c r="F247" s="5">
        <v>3</v>
      </c>
      <c r="G247" s="5" t="s">
        <v>83</v>
      </c>
      <c r="H247" s="3">
        <v>13.144413357400722</v>
      </c>
      <c r="I247" s="3" t="s">
        <v>74</v>
      </c>
      <c r="J247" s="3">
        <v>0.1</v>
      </c>
      <c r="K247" s="3">
        <v>7.25</v>
      </c>
      <c r="L247" s="3">
        <v>0.33</v>
      </c>
      <c r="O247" s="3">
        <v>100</v>
      </c>
      <c r="P247" s="3">
        <v>7.6077948312312333</v>
      </c>
      <c r="R247" s="3">
        <v>10</v>
      </c>
      <c r="S247" s="4">
        <v>44949</v>
      </c>
      <c r="T247" s="4"/>
      <c r="U247" s="3" t="s">
        <v>75</v>
      </c>
      <c r="V247" s="10" t="s">
        <v>87</v>
      </c>
      <c r="W247" s="10">
        <v>8</v>
      </c>
      <c r="X247" s="10" t="s">
        <v>88</v>
      </c>
      <c r="Y247" s="10">
        <v>8</v>
      </c>
      <c r="Z247">
        <v>8</v>
      </c>
      <c r="AA247" t="s">
        <v>83</v>
      </c>
      <c r="AB247" t="s">
        <v>77</v>
      </c>
      <c r="AC247" s="3" t="s">
        <v>78</v>
      </c>
      <c r="AD247" s="3">
        <v>4</v>
      </c>
      <c r="AE247">
        <v>8</v>
      </c>
      <c r="AF247" t="s">
        <v>83</v>
      </c>
      <c r="AG247" t="s">
        <v>658</v>
      </c>
      <c r="AH247" s="17" t="s">
        <v>659</v>
      </c>
      <c r="AI247" t="s">
        <v>674</v>
      </c>
      <c r="AJ247" s="18" t="s">
        <v>675</v>
      </c>
      <c r="AO247" s="3">
        <v>3.0621440402986089</v>
      </c>
      <c r="AP247" s="3">
        <v>37</v>
      </c>
      <c r="AQ247" s="3">
        <f t="shared" si="47"/>
        <v>113.29932949104852</v>
      </c>
      <c r="BE247" s="3" t="s">
        <v>79</v>
      </c>
      <c r="BF247" s="3" t="s">
        <v>80</v>
      </c>
      <c r="BG247" s="3" t="s">
        <v>416</v>
      </c>
      <c r="BH247" s="3">
        <f t="shared" si="62"/>
        <v>2</v>
      </c>
      <c r="BI247" s="3" t="str">
        <f t="shared" si="63"/>
        <v>C8</v>
      </c>
      <c r="BJ247" s="3">
        <v>6</v>
      </c>
      <c r="BK247" s="3" t="str">
        <f t="shared" si="64"/>
        <v>E1</v>
      </c>
      <c r="BL247" s="3">
        <v>1.5</v>
      </c>
      <c r="BM247" s="3">
        <v>1.5</v>
      </c>
      <c r="BN247" s="3">
        <f t="shared" si="65"/>
        <v>3.0621440402986089</v>
      </c>
      <c r="BO247" s="3">
        <f t="shared" si="66"/>
        <v>1.5621440402986089</v>
      </c>
      <c r="BP247" s="3" t="s">
        <v>419</v>
      </c>
      <c r="BQ247">
        <v>1</v>
      </c>
      <c r="BR247" t="s">
        <v>87</v>
      </c>
      <c r="BS247" s="3">
        <v>1</v>
      </c>
      <c r="BT247" s="3" t="s">
        <v>418</v>
      </c>
      <c r="BU247" s="3">
        <v>2</v>
      </c>
      <c r="BV247" s="3" t="str">
        <f t="shared" si="67"/>
        <v>E1</v>
      </c>
      <c r="BW247" s="3">
        <f t="shared" si="68"/>
        <v>1.5621440402986089</v>
      </c>
      <c r="BX247" s="21" t="s">
        <v>417</v>
      </c>
      <c r="BY247" s="3" t="str">
        <f t="shared" si="48"/>
        <v>Och-C_DilutionPlate</v>
      </c>
      <c r="BZ247" s="3" t="str">
        <f t="shared" si="49"/>
        <v>E1</v>
      </c>
      <c r="CA247" s="3" t="str">
        <f t="shared" si="50"/>
        <v>Och-C</v>
      </c>
      <c r="CC247" s="3">
        <v>1.5</v>
      </c>
      <c r="CD247" t="s">
        <v>527</v>
      </c>
      <c r="CE247" s="21" t="str">
        <f t="shared" si="45"/>
        <v>OcC0802708C</v>
      </c>
      <c r="CF247" s="21" t="str">
        <f t="shared" si="51"/>
        <v>Och-CTum_027-Ex1-8C-lcwgs-1-1</v>
      </c>
      <c r="CG247" s="3">
        <f t="shared" si="61"/>
        <v>0.73477928222494338</v>
      </c>
      <c r="CH247">
        <v>531265</v>
      </c>
      <c r="CI247">
        <v>435076</v>
      </c>
      <c r="CJ247" t="s">
        <v>79</v>
      </c>
      <c r="CK247" s="3">
        <v>0.54534271523491951</v>
      </c>
      <c r="CL247" t="s">
        <v>1202</v>
      </c>
      <c r="CM247" s="33" t="s">
        <v>1836</v>
      </c>
      <c r="CN247" s="3" t="str">
        <f t="shared" si="53"/>
        <v>Och-CTum_027-Ex1-8C-lcwgs-1-2</v>
      </c>
      <c r="CR247"/>
    </row>
    <row r="248" spans="1:96" x14ac:dyDescent="0.55000000000000004">
      <c r="A248" t="s">
        <v>147</v>
      </c>
      <c r="B248" t="s">
        <v>148</v>
      </c>
      <c r="C248" s="3">
        <v>1</v>
      </c>
      <c r="E248" t="s">
        <v>72</v>
      </c>
      <c r="F248" s="5">
        <v>4</v>
      </c>
      <c r="G248" s="5" t="s">
        <v>83</v>
      </c>
      <c r="H248" s="3">
        <v>9.3702391696750897</v>
      </c>
      <c r="I248" s="3" t="s">
        <v>74</v>
      </c>
      <c r="J248" s="3">
        <v>0.1</v>
      </c>
      <c r="K248" s="3">
        <v>7.25</v>
      </c>
      <c r="L248" s="3">
        <v>0.33</v>
      </c>
      <c r="O248" s="3">
        <v>100</v>
      </c>
      <c r="P248" s="3">
        <v>10.672086185764613</v>
      </c>
      <c r="R248" s="3">
        <v>10</v>
      </c>
      <c r="S248" s="4">
        <v>44949</v>
      </c>
      <c r="T248" s="4"/>
      <c r="U248" s="3" t="s">
        <v>75</v>
      </c>
      <c r="V248" s="10" t="s">
        <v>91</v>
      </c>
      <c r="W248" s="10">
        <v>8</v>
      </c>
      <c r="X248" s="10" t="s">
        <v>92</v>
      </c>
      <c r="Y248" s="10">
        <v>8</v>
      </c>
      <c r="Z248">
        <v>8</v>
      </c>
      <c r="AA248" t="s">
        <v>84</v>
      </c>
      <c r="AB248" t="s">
        <v>77</v>
      </c>
      <c r="AC248" s="3" t="s">
        <v>78</v>
      </c>
      <c r="AD248" s="3">
        <v>4</v>
      </c>
      <c r="AE248">
        <v>8</v>
      </c>
      <c r="AF248" t="s">
        <v>84</v>
      </c>
      <c r="AG248" t="s">
        <v>660</v>
      </c>
      <c r="AH248" s="17" t="s">
        <v>661</v>
      </c>
      <c r="AI248" t="s">
        <v>674</v>
      </c>
      <c r="AJ248" s="18" t="s">
        <v>675</v>
      </c>
      <c r="AO248" s="3">
        <v>3.6606101518005034</v>
      </c>
      <c r="AP248" s="3">
        <v>37</v>
      </c>
      <c r="AQ248" s="3">
        <f t="shared" si="47"/>
        <v>135.44257561661863</v>
      </c>
      <c r="BE248" s="3" t="s">
        <v>79</v>
      </c>
      <c r="BF248" s="3" t="s">
        <v>80</v>
      </c>
      <c r="BG248" s="3" t="s">
        <v>416</v>
      </c>
      <c r="BH248" s="3">
        <f t="shared" si="62"/>
        <v>2</v>
      </c>
      <c r="BI248" s="3" t="str">
        <f t="shared" si="63"/>
        <v>D8</v>
      </c>
      <c r="BJ248" s="3">
        <v>27</v>
      </c>
      <c r="BK248" s="3" t="str">
        <f t="shared" si="64"/>
        <v>B4</v>
      </c>
      <c r="BL248" s="3">
        <v>1.5</v>
      </c>
      <c r="BM248" s="3">
        <v>1.5</v>
      </c>
      <c r="BN248" s="3">
        <f t="shared" si="65"/>
        <v>3.6606101518005034</v>
      </c>
      <c r="BO248" s="3">
        <f t="shared" si="66"/>
        <v>2.1606101518005034</v>
      </c>
      <c r="BP248" s="3" t="s">
        <v>419</v>
      </c>
      <c r="BQ248">
        <v>4</v>
      </c>
      <c r="BR248" t="s">
        <v>76</v>
      </c>
      <c r="BS248" s="3">
        <v>1</v>
      </c>
      <c r="BT248" s="3" t="s">
        <v>418</v>
      </c>
      <c r="BU248" s="3">
        <v>2</v>
      </c>
      <c r="BV248" s="3" t="str">
        <f t="shared" si="67"/>
        <v>B4</v>
      </c>
      <c r="BW248" s="3">
        <f t="shared" si="68"/>
        <v>2.1606101518005034</v>
      </c>
      <c r="BX248" s="21" t="s">
        <v>417</v>
      </c>
      <c r="BY248" s="3" t="str">
        <f t="shared" si="48"/>
        <v>Och-C_DilutionPlate</v>
      </c>
      <c r="BZ248" s="3" t="str">
        <f t="shared" si="49"/>
        <v>B4</v>
      </c>
      <c r="CA248" s="3" t="str">
        <f t="shared" si="50"/>
        <v>Och-C</v>
      </c>
      <c r="CC248" s="3">
        <v>1.5</v>
      </c>
      <c r="CD248" t="s">
        <v>528</v>
      </c>
      <c r="CE248" s="21" t="str">
        <f t="shared" si="45"/>
        <v>OcC0802808D</v>
      </c>
      <c r="CF248" s="21" t="str">
        <f t="shared" si="51"/>
        <v>Och-CTum_028-Ex1-8D-lcwgs-1-1</v>
      </c>
      <c r="CG248" s="3">
        <f t="shared" si="61"/>
        <v>0.61465163092915476</v>
      </c>
      <c r="CH248">
        <v>199226</v>
      </c>
      <c r="CI248">
        <v>165135</v>
      </c>
      <c r="CJ248" t="s">
        <v>79</v>
      </c>
      <c r="CK248" s="3">
        <v>1.2097944724556662</v>
      </c>
      <c r="CL248" t="s">
        <v>1202</v>
      </c>
      <c r="CM248" s="33" t="s">
        <v>1837</v>
      </c>
      <c r="CN248" s="3" t="str">
        <f t="shared" si="53"/>
        <v>Och-CTum_028-Ex1-8D-lcwgs-1-2</v>
      </c>
      <c r="CR248"/>
    </row>
    <row r="249" spans="1:96" x14ac:dyDescent="0.55000000000000004">
      <c r="A249" t="s">
        <v>149</v>
      </c>
      <c r="B249" t="s">
        <v>150</v>
      </c>
      <c r="C249" s="3">
        <v>1</v>
      </c>
      <c r="E249" t="s">
        <v>72</v>
      </c>
      <c r="F249" s="5">
        <v>5</v>
      </c>
      <c r="G249" s="5" t="s">
        <v>83</v>
      </c>
      <c r="H249" s="3">
        <v>6.6652211191335748</v>
      </c>
      <c r="I249" s="3" t="s">
        <v>74</v>
      </c>
      <c r="J249" s="3">
        <v>0.1</v>
      </c>
      <c r="K249" s="3">
        <v>7.25</v>
      </c>
      <c r="L249" s="3">
        <v>0.33</v>
      </c>
      <c r="O249" s="3">
        <v>100</v>
      </c>
      <c r="P249" s="3">
        <v>15.003253187344997</v>
      </c>
      <c r="R249" s="3">
        <v>10</v>
      </c>
      <c r="S249" s="4">
        <v>44949</v>
      </c>
      <c r="T249" s="4"/>
      <c r="U249" s="3" t="s">
        <v>75</v>
      </c>
      <c r="V249" s="10" t="s">
        <v>95</v>
      </c>
      <c r="W249" s="10">
        <v>8</v>
      </c>
      <c r="X249" s="10" t="s">
        <v>96</v>
      </c>
      <c r="Y249" s="10">
        <v>8</v>
      </c>
      <c r="Z249">
        <v>8</v>
      </c>
      <c r="AA249" t="s">
        <v>87</v>
      </c>
      <c r="AB249" t="s">
        <v>77</v>
      </c>
      <c r="AC249" s="3" t="s">
        <v>78</v>
      </c>
      <c r="AD249" s="3">
        <v>4</v>
      </c>
      <c r="AE249">
        <v>8</v>
      </c>
      <c r="AF249" t="s">
        <v>87</v>
      </c>
      <c r="AG249" t="s">
        <v>662</v>
      </c>
      <c r="AH249" s="17" t="s">
        <v>663</v>
      </c>
      <c r="AI249" t="s">
        <v>674</v>
      </c>
      <c r="AJ249" s="18" t="s">
        <v>675</v>
      </c>
      <c r="AO249" s="3">
        <v>3.5765412629620386</v>
      </c>
      <c r="AP249" s="3">
        <v>37</v>
      </c>
      <c r="AQ249" s="3">
        <f t="shared" si="47"/>
        <v>132.33202672959544</v>
      </c>
      <c r="BE249" s="3" t="s">
        <v>79</v>
      </c>
      <c r="BF249" s="3" t="s">
        <v>80</v>
      </c>
      <c r="BG249" s="3" t="s">
        <v>416</v>
      </c>
      <c r="BH249" s="3">
        <f t="shared" si="62"/>
        <v>2</v>
      </c>
      <c r="BI249" s="3" t="str">
        <f t="shared" si="63"/>
        <v>E8</v>
      </c>
      <c r="BJ249" s="3">
        <v>24</v>
      </c>
      <c r="BK249" s="3" t="str">
        <f t="shared" si="64"/>
        <v>G3</v>
      </c>
      <c r="BL249" s="3">
        <v>1.5</v>
      </c>
      <c r="BM249" s="3">
        <v>1.5</v>
      </c>
      <c r="BN249" s="3">
        <f t="shared" si="65"/>
        <v>3.5765412629620386</v>
      </c>
      <c r="BO249" s="3">
        <f t="shared" si="66"/>
        <v>2.0765412629620386</v>
      </c>
      <c r="BP249" s="3" t="s">
        <v>419</v>
      </c>
      <c r="BQ249">
        <v>3</v>
      </c>
      <c r="BR249" t="s">
        <v>91</v>
      </c>
      <c r="BS249" s="3">
        <v>1</v>
      </c>
      <c r="BT249" s="3" t="s">
        <v>418</v>
      </c>
      <c r="BU249" s="3">
        <v>2</v>
      </c>
      <c r="BV249" s="3" t="str">
        <f t="shared" si="67"/>
        <v>G3</v>
      </c>
      <c r="BW249" s="3">
        <f t="shared" si="68"/>
        <v>2.0765412629620386</v>
      </c>
      <c r="BX249" s="21" t="s">
        <v>417</v>
      </c>
      <c r="BY249" s="3" t="str">
        <f t="shared" si="48"/>
        <v>Och-C_DilutionPlate</v>
      </c>
      <c r="BZ249" s="3" t="str">
        <f t="shared" si="49"/>
        <v>G3</v>
      </c>
      <c r="CA249" s="3" t="str">
        <f t="shared" si="50"/>
        <v>Och-C</v>
      </c>
      <c r="CC249" s="3">
        <v>1.5</v>
      </c>
      <c r="CD249" t="s">
        <v>529</v>
      </c>
      <c r="CE249" s="21" t="str">
        <f t="shared" si="45"/>
        <v>OcC0802908E</v>
      </c>
      <c r="CF249" s="21" t="str">
        <f t="shared" si="51"/>
        <v>Och-CTum_029-Ex1-8E-lcwgs-1-1</v>
      </c>
      <c r="CG249" s="3">
        <f t="shared" si="61"/>
        <v>0.62909941045572704</v>
      </c>
      <c r="CH249">
        <v>427616</v>
      </c>
      <c r="CI249">
        <v>348960</v>
      </c>
      <c r="CJ249" t="s">
        <v>79</v>
      </c>
      <c r="CK249" s="3">
        <v>0.58335196524516519</v>
      </c>
      <c r="CL249" t="s">
        <v>1202</v>
      </c>
      <c r="CM249" s="33" t="s">
        <v>1838</v>
      </c>
      <c r="CN249" s="3" t="str">
        <f t="shared" ref="CN249:CN268" si="69">B249&amp;"-"&amp;Z249&amp;AA249&amp;"-lcwgs-"&amp;C249&amp;"-2"</f>
        <v>Och-CTum_029-Ex1-8E-lcwgs-1-2</v>
      </c>
      <c r="CR249"/>
    </row>
    <row r="250" spans="1:96" x14ac:dyDescent="0.55000000000000004">
      <c r="A250" t="s">
        <v>151</v>
      </c>
      <c r="B250" t="s">
        <v>152</v>
      </c>
      <c r="C250" s="3">
        <v>1</v>
      </c>
      <c r="E250" t="s">
        <v>72</v>
      </c>
      <c r="F250" s="5">
        <v>6</v>
      </c>
      <c r="G250" s="5" t="s">
        <v>83</v>
      </c>
      <c r="H250" s="3">
        <v>4.3837048736462094</v>
      </c>
      <c r="I250" s="3" t="s">
        <v>74</v>
      </c>
      <c r="J250" s="3">
        <v>0.1</v>
      </c>
      <c r="K250" s="3">
        <v>7.25</v>
      </c>
      <c r="L250" s="3">
        <v>0.33</v>
      </c>
      <c r="O250" s="3">
        <v>100</v>
      </c>
      <c r="P250" s="3">
        <v>22.811754641872952</v>
      </c>
      <c r="R250" s="3">
        <v>10</v>
      </c>
      <c r="S250" s="4">
        <v>44949</v>
      </c>
      <c r="T250" s="4"/>
      <c r="U250" s="3" t="s">
        <v>75</v>
      </c>
      <c r="V250" s="10" t="s">
        <v>99</v>
      </c>
      <c r="W250" s="10">
        <v>8</v>
      </c>
      <c r="X250" s="10" t="s">
        <v>100</v>
      </c>
      <c r="Y250" s="10">
        <v>8</v>
      </c>
      <c r="Z250">
        <v>8</v>
      </c>
      <c r="AA250" t="s">
        <v>88</v>
      </c>
      <c r="AB250" t="s">
        <v>77</v>
      </c>
      <c r="AC250" s="3" t="s">
        <v>78</v>
      </c>
      <c r="AD250" s="3">
        <v>4</v>
      </c>
      <c r="AE250">
        <v>8</v>
      </c>
      <c r="AF250" t="s">
        <v>88</v>
      </c>
      <c r="AG250" t="s">
        <v>664</v>
      </c>
      <c r="AH250" s="17" t="s">
        <v>665</v>
      </c>
      <c r="AI250" t="s">
        <v>674</v>
      </c>
      <c r="AJ250" s="18" t="s">
        <v>675</v>
      </c>
      <c r="AO250" s="3">
        <v>2.5461074175761844</v>
      </c>
      <c r="AP250" s="3">
        <v>37</v>
      </c>
      <c r="AQ250" s="3">
        <f t="shared" si="47"/>
        <v>94.20597445031882</v>
      </c>
      <c r="BE250" s="3" t="s">
        <v>79</v>
      </c>
      <c r="BF250" s="3" t="s">
        <v>80</v>
      </c>
      <c r="BG250" s="3" t="s">
        <v>416</v>
      </c>
      <c r="BH250" s="3">
        <f t="shared" si="62"/>
        <v>2</v>
      </c>
      <c r="BI250" s="3" t="str">
        <f t="shared" si="63"/>
        <v>F8</v>
      </c>
      <c r="BJ250" s="3">
        <v>1</v>
      </c>
      <c r="BK250" s="3" t="str">
        <f t="shared" si="64"/>
        <v>H7</v>
      </c>
      <c r="BL250" s="3">
        <v>1.5</v>
      </c>
      <c r="BM250" s="3">
        <v>1.5</v>
      </c>
      <c r="BN250" s="3">
        <f t="shared" si="65"/>
        <v>2.5461074175761844</v>
      </c>
      <c r="BO250" s="3">
        <f t="shared" si="66"/>
        <v>1.0461074175761844</v>
      </c>
      <c r="BP250" s="3" t="s">
        <v>420</v>
      </c>
      <c r="BQ250">
        <v>7</v>
      </c>
      <c r="BR250" t="s">
        <v>92</v>
      </c>
      <c r="BS250" s="3">
        <v>1</v>
      </c>
      <c r="BT250" s="3" t="s">
        <v>418</v>
      </c>
      <c r="BU250" s="3">
        <v>1</v>
      </c>
      <c r="BV250" s="3" t="str">
        <f t="shared" si="67"/>
        <v>H7</v>
      </c>
      <c r="BW250" s="3">
        <f t="shared" si="68"/>
        <v>1.0461074175761844</v>
      </c>
      <c r="BX250" s="21" t="s">
        <v>417</v>
      </c>
      <c r="BY250" s="3" t="str">
        <f t="shared" si="48"/>
        <v>Och-Mixed_Dilution Plate</v>
      </c>
      <c r="BZ250" s="3" t="str">
        <f t="shared" si="49"/>
        <v>H7</v>
      </c>
      <c r="CA250" s="3" t="str">
        <f t="shared" si="50"/>
        <v>Och-C</v>
      </c>
      <c r="CC250" s="3">
        <v>1.5</v>
      </c>
      <c r="CD250" t="s">
        <v>530</v>
      </c>
      <c r="CE250" s="21" t="str">
        <f t="shared" si="45"/>
        <v>OcC0803008F</v>
      </c>
      <c r="CF250" s="21" t="str">
        <f t="shared" si="51"/>
        <v>Och-CTum_030-Ex1-8F-lcwgs-1-1</v>
      </c>
      <c r="CG250" s="3">
        <f t="shared" si="61"/>
        <v>0.88370191472201531</v>
      </c>
      <c r="CH250">
        <v>97426</v>
      </c>
      <c r="CI250">
        <v>82782</v>
      </c>
      <c r="CJ250" t="s">
        <v>79</v>
      </c>
      <c r="CK250" s="3">
        <v>3.4766062004655449</v>
      </c>
      <c r="CL250" t="s">
        <v>1202</v>
      </c>
      <c r="CM250" s="33" t="s">
        <v>1839</v>
      </c>
      <c r="CN250" s="3" t="str">
        <f t="shared" si="69"/>
        <v>Och-CTum_030-Ex1-8F-lcwgs-1-2</v>
      </c>
      <c r="CR250"/>
    </row>
    <row r="251" spans="1:96" x14ac:dyDescent="0.55000000000000004">
      <c r="A251" t="s">
        <v>153</v>
      </c>
      <c r="B251" t="s">
        <v>154</v>
      </c>
      <c r="C251" s="3">
        <v>1</v>
      </c>
      <c r="E251" t="s">
        <v>72</v>
      </c>
      <c r="F251" s="5">
        <v>7</v>
      </c>
      <c r="G251" s="5" t="s">
        <v>83</v>
      </c>
      <c r="H251" s="3">
        <v>4.4436732851985559</v>
      </c>
      <c r="I251" s="3" t="s">
        <v>74</v>
      </c>
      <c r="J251" s="3">
        <v>0.1</v>
      </c>
      <c r="K251" s="3">
        <v>7.25</v>
      </c>
      <c r="L251" s="3">
        <v>0.33</v>
      </c>
      <c r="O251" s="3">
        <v>100</v>
      </c>
      <c r="P251" s="3">
        <v>22.503904671185051</v>
      </c>
      <c r="R251" s="3">
        <v>10</v>
      </c>
      <c r="S251" s="4">
        <v>44949</v>
      </c>
      <c r="T251" s="4"/>
      <c r="U251" s="3" t="s">
        <v>75</v>
      </c>
      <c r="V251" s="10" t="s">
        <v>103</v>
      </c>
      <c r="W251" s="10">
        <v>8</v>
      </c>
      <c r="X251" s="10" t="s">
        <v>104</v>
      </c>
      <c r="Y251" s="10">
        <v>8</v>
      </c>
      <c r="Z251">
        <v>8</v>
      </c>
      <c r="AA251" t="s">
        <v>91</v>
      </c>
      <c r="AB251" t="s">
        <v>77</v>
      </c>
      <c r="AC251" s="3" t="s">
        <v>78</v>
      </c>
      <c r="AD251" s="3">
        <v>4</v>
      </c>
      <c r="AE251">
        <v>8</v>
      </c>
      <c r="AF251" t="s">
        <v>91</v>
      </c>
      <c r="AG251" t="s">
        <v>666</v>
      </c>
      <c r="AH251" s="17" t="s">
        <v>667</v>
      </c>
      <c r="AI251" t="s">
        <v>674</v>
      </c>
      <c r="AJ251" s="18" t="s">
        <v>675</v>
      </c>
      <c r="AO251" s="3">
        <v>2.7950069206507684</v>
      </c>
      <c r="AP251" s="3">
        <v>37</v>
      </c>
      <c r="AQ251" s="3">
        <f t="shared" si="47"/>
        <v>103.41525606407843</v>
      </c>
      <c r="BE251" s="3" t="s">
        <v>79</v>
      </c>
      <c r="BF251" s="3" t="s">
        <v>80</v>
      </c>
      <c r="BG251" s="3" t="s">
        <v>416</v>
      </c>
      <c r="BH251" s="3">
        <f t="shared" si="62"/>
        <v>2</v>
      </c>
      <c r="BI251" s="3" t="str">
        <f t="shared" si="63"/>
        <v>G8</v>
      </c>
      <c r="BJ251" s="3">
        <v>1</v>
      </c>
      <c r="BK251" s="3" t="str">
        <f t="shared" si="64"/>
        <v>C8</v>
      </c>
      <c r="BL251" s="3">
        <v>1.5</v>
      </c>
      <c r="BM251" s="3">
        <v>1.5</v>
      </c>
      <c r="BN251" s="3">
        <f t="shared" si="65"/>
        <v>2.7950069206507684</v>
      </c>
      <c r="BO251" s="3">
        <f t="shared" si="66"/>
        <v>1.2950069206507684</v>
      </c>
      <c r="BP251" s="3" t="s">
        <v>420</v>
      </c>
      <c r="BQ251">
        <v>8</v>
      </c>
      <c r="BR251" t="s">
        <v>83</v>
      </c>
      <c r="BS251" s="3">
        <v>1</v>
      </c>
      <c r="BT251" s="3" t="s">
        <v>418</v>
      </c>
      <c r="BU251" s="3">
        <v>1</v>
      </c>
      <c r="BV251" s="3" t="str">
        <f t="shared" si="67"/>
        <v>C8</v>
      </c>
      <c r="BW251" s="3">
        <f t="shared" si="68"/>
        <v>1.2950069206507684</v>
      </c>
      <c r="BX251" s="21" t="s">
        <v>417</v>
      </c>
      <c r="BY251" s="3" t="str">
        <f t="shared" si="48"/>
        <v>Och-Mixed_Dilution Plate</v>
      </c>
      <c r="BZ251" s="3" t="str">
        <f t="shared" si="49"/>
        <v>C8</v>
      </c>
      <c r="CA251" s="3" t="str">
        <f t="shared" si="50"/>
        <v>Och-C</v>
      </c>
      <c r="CC251" s="3">
        <v>1.5</v>
      </c>
      <c r="CD251" t="s">
        <v>531</v>
      </c>
      <c r="CE251" s="21" t="str">
        <f t="shared" si="45"/>
        <v>OcC0803108G</v>
      </c>
      <c r="CF251" s="21" t="str">
        <f t="shared" si="51"/>
        <v>Och-CTum_031-Ex1-8G-lcwgs-1-1</v>
      </c>
      <c r="CG251" s="3">
        <f t="shared" si="61"/>
        <v>0.80500695128015176</v>
      </c>
      <c r="CH251">
        <v>584696</v>
      </c>
      <c r="CI251">
        <v>482338</v>
      </c>
      <c r="CJ251" t="s">
        <v>79</v>
      </c>
      <c r="CK251" s="3">
        <v>0.53830206466094621</v>
      </c>
      <c r="CL251" t="s">
        <v>1202</v>
      </c>
      <c r="CM251" s="33" t="s">
        <v>1840</v>
      </c>
      <c r="CN251" s="3" t="str">
        <f t="shared" si="69"/>
        <v>Och-CTum_031-Ex1-8G-lcwgs-1-2</v>
      </c>
      <c r="CR251"/>
    </row>
    <row r="252" spans="1:96" x14ac:dyDescent="0.55000000000000004">
      <c r="A252" t="s">
        <v>155</v>
      </c>
      <c r="B252" t="s">
        <v>156</v>
      </c>
      <c r="C252" s="3">
        <v>1</v>
      </c>
      <c r="E252" t="s">
        <v>72</v>
      </c>
      <c r="F252" s="5">
        <v>8</v>
      </c>
      <c r="G252" s="5" t="s">
        <v>83</v>
      </c>
      <c r="H252" s="3">
        <v>4.9577436823104692</v>
      </c>
      <c r="I252" s="3" t="s">
        <v>74</v>
      </c>
      <c r="J252" s="3">
        <v>0.1</v>
      </c>
      <c r="K252" s="3">
        <v>7.25</v>
      </c>
      <c r="L252" s="3">
        <v>0.33</v>
      </c>
      <c r="O252" s="3">
        <v>100</v>
      </c>
      <c r="P252" s="3">
        <v>20.170465923199313</v>
      </c>
      <c r="R252" s="3">
        <v>10</v>
      </c>
      <c r="S252" s="4">
        <v>44949</v>
      </c>
      <c r="T252" s="4"/>
      <c r="U252" s="3" t="s">
        <v>75</v>
      </c>
      <c r="V252" s="10" t="s">
        <v>107</v>
      </c>
      <c r="W252" s="10">
        <v>8</v>
      </c>
      <c r="X252" s="10" t="s">
        <v>108</v>
      </c>
      <c r="Y252" s="10">
        <v>8</v>
      </c>
      <c r="Z252">
        <v>8</v>
      </c>
      <c r="AA252" t="s">
        <v>92</v>
      </c>
      <c r="AB252" t="s">
        <v>77</v>
      </c>
      <c r="AC252" s="3" t="s">
        <v>78</v>
      </c>
      <c r="AD252" s="3">
        <v>4</v>
      </c>
      <c r="AE252">
        <v>8</v>
      </c>
      <c r="AF252" t="s">
        <v>92</v>
      </c>
      <c r="AG252" t="s">
        <v>668</v>
      </c>
      <c r="AH252" s="17" t="s">
        <v>669</v>
      </c>
      <c r="AI252" t="s">
        <v>674</v>
      </c>
      <c r="AJ252" s="18" t="s">
        <v>675</v>
      </c>
      <c r="AO252" s="3">
        <v>3.4378843230242113</v>
      </c>
      <c r="AP252" s="3">
        <v>37</v>
      </c>
      <c r="AQ252" s="3">
        <f t="shared" si="47"/>
        <v>127.20171995189583</v>
      </c>
      <c r="BE252" s="3" t="s">
        <v>79</v>
      </c>
      <c r="BF252" s="3" t="s">
        <v>80</v>
      </c>
      <c r="BG252" s="3" t="s">
        <v>416</v>
      </c>
      <c r="BH252" s="3">
        <f t="shared" si="62"/>
        <v>2</v>
      </c>
      <c r="BI252" s="3" t="str">
        <f t="shared" si="63"/>
        <v>H8</v>
      </c>
      <c r="BJ252" s="3">
        <v>21</v>
      </c>
      <c r="BK252" s="3" t="str">
        <f t="shared" si="64"/>
        <v>D3</v>
      </c>
      <c r="BL252" s="3">
        <v>1.5</v>
      </c>
      <c r="BM252" s="3">
        <v>1.5</v>
      </c>
      <c r="BN252" s="3">
        <f t="shared" si="65"/>
        <v>3.4378843230242118</v>
      </c>
      <c r="BO252" s="3">
        <f t="shared" si="66"/>
        <v>1.9378843230242118</v>
      </c>
      <c r="BP252" s="3" t="s">
        <v>419</v>
      </c>
      <c r="BQ252">
        <v>3</v>
      </c>
      <c r="BR252" t="s">
        <v>84</v>
      </c>
      <c r="BS252" s="3">
        <v>1</v>
      </c>
      <c r="BT252" s="3" t="s">
        <v>418</v>
      </c>
      <c r="BU252" s="3">
        <v>2</v>
      </c>
      <c r="BV252" s="3" t="str">
        <f t="shared" si="67"/>
        <v>D3</v>
      </c>
      <c r="BW252" s="3">
        <f t="shared" si="68"/>
        <v>1.9378843230242118</v>
      </c>
      <c r="BX252" s="21" t="s">
        <v>417</v>
      </c>
      <c r="BY252" s="3" t="str">
        <f t="shared" si="48"/>
        <v>Och-C_DilutionPlate</v>
      </c>
      <c r="BZ252" s="3" t="str">
        <f t="shared" si="49"/>
        <v>D3</v>
      </c>
      <c r="CA252" s="3" t="str">
        <f t="shared" si="50"/>
        <v>Och-C</v>
      </c>
      <c r="CC252" s="3">
        <v>1.5</v>
      </c>
      <c r="CD252" t="s">
        <v>532</v>
      </c>
      <c r="CE252" s="21" t="str">
        <f t="shared" ref="CE252:CE315" si="70">CD252&amp;TEXT(Z252,"00")&amp;AA252</f>
        <v>OcC0803208H</v>
      </c>
      <c r="CF252" s="21" t="str">
        <f t="shared" si="51"/>
        <v>Och-CTum_032-Ex1-8H-lcwgs-1-1</v>
      </c>
      <c r="CG252" s="3">
        <f t="shared" si="61"/>
        <v>0.65447228254054146</v>
      </c>
      <c r="CH252">
        <v>506763</v>
      </c>
      <c r="CI252">
        <v>410666</v>
      </c>
      <c r="CJ252" t="s">
        <v>79</v>
      </c>
      <c r="CK252" s="3">
        <v>0.5149181361503602</v>
      </c>
      <c r="CL252" t="s">
        <v>1202</v>
      </c>
      <c r="CM252" s="33" t="s">
        <v>1841</v>
      </c>
      <c r="CN252" s="3" t="str">
        <f t="shared" si="69"/>
        <v>Och-CTum_032-Ex1-8H-lcwgs-1-2</v>
      </c>
      <c r="CR252"/>
    </row>
    <row r="253" spans="1:96" x14ac:dyDescent="0.55000000000000004">
      <c r="A253" t="s">
        <v>157</v>
      </c>
      <c r="B253" t="s">
        <v>158</v>
      </c>
      <c r="C253" s="3">
        <v>1</v>
      </c>
      <c r="E253" t="s">
        <v>72</v>
      </c>
      <c r="F253" s="5">
        <v>9</v>
      </c>
      <c r="G253" s="5" t="s">
        <v>83</v>
      </c>
      <c r="H253" s="3">
        <v>3.5596389891696747</v>
      </c>
      <c r="I253" s="3" t="s">
        <v>74</v>
      </c>
      <c r="J253" s="3">
        <v>0.1</v>
      </c>
      <c r="K253" s="3">
        <v>7.25</v>
      </c>
      <c r="L253" s="3">
        <v>0.33</v>
      </c>
      <c r="O253" s="3">
        <v>100</v>
      </c>
      <c r="P253" s="3">
        <v>28.092736455649991</v>
      </c>
      <c r="R253" s="3">
        <v>10</v>
      </c>
      <c r="S253" s="4">
        <v>44949</v>
      </c>
      <c r="T253" s="4"/>
      <c r="U253" s="3" t="s">
        <v>75</v>
      </c>
      <c r="V253" s="10" t="s">
        <v>73</v>
      </c>
      <c r="W253" s="10">
        <v>9</v>
      </c>
      <c r="X253" s="10" t="s">
        <v>76</v>
      </c>
      <c r="Y253" s="10">
        <v>9</v>
      </c>
      <c r="Z253">
        <v>9</v>
      </c>
      <c r="AA253" t="s">
        <v>73</v>
      </c>
      <c r="AB253" t="s">
        <v>77</v>
      </c>
      <c r="AC253" s="3" t="s">
        <v>78</v>
      </c>
      <c r="AD253" s="3">
        <v>4</v>
      </c>
      <c r="AE253">
        <v>9</v>
      </c>
      <c r="AF253" t="s">
        <v>73</v>
      </c>
      <c r="AG253" t="s">
        <v>652</v>
      </c>
      <c r="AH253" s="17" t="s">
        <v>653</v>
      </c>
      <c r="AI253" t="s">
        <v>676</v>
      </c>
      <c r="AJ253" s="18" t="s">
        <v>677</v>
      </c>
      <c r="AO253" s="3">
        <v>3.0704771845431234</v>
      </c>
      <c r="AP253" s="3">
        <v>37</v>
      </c>
      <c r="AQ253" s="3">
        <f t="shared" si="47"/>
        <v>113.60765582809556</v>
      </c>
      <c r="BE253" s="3" t="s">
        <v>79</v>
      </c>
      <c r="BF253" s="3" t="s">
        <v>80</v>
      </c>
      <c r="BG253" s="3" t="s">
        <v>416</v>
      </c>
      <c r="BH253" s="3">
        <f t="shared" si="62"/>
        <v>2</v>
      </c>
      <c r="BI253" s="3" t="str">
        <f t="shared" si="63"/>
        <v>A9</v>
      </c>
      <c r="BJ253" s="3">
        <v>7</v>
      </c>
      <c r="BK253" s="3" t="str">
        <f t="shared" si="64"/>
        <v>F1</v>
      </c>
      <c r="BL253" s="3">
        <v>1.5</v>
      </c>
      <c r="BM253" s="3">
        <v>1.5</v>
      </c>
      <c r="BN253" s="3">
        <f t="shared" si="65"/>
        <v>3.0704771845431238</v>
      </c>
      <c r="BO253" s="3">
        <f t="shared" si="66"/>
        <v>1.5704771845431238</v>
      </c>
      <c r="BP253" s="3" t="s">
        <v>419</v>
      </c>
      <c r="BQ253">
        <v>1</v>
      </c>
      <c r="BR253" t="s">
        <v>88</v>
      </c>
      <c r="BS253" s="3">
        <v>1</v>
      </c>
      <c r="BT253" s="3" t="s">
        <v>418</v>
      </c>
      <c r="BU253" s="3">
        <v>2</v>
      </c>
      <c r="BV253" s="3" t="str">
        <f t="shared" si="67"/>
        <v>F1</v>
      </c>
      <c r="BW253" s="3">
        <f t="shared" si="68"/>
        <v>1.5704771845431238</v>
      </c>
      <c r="BX253" s="21" t="s">
        <v>417</v>
      </c>
      <c r="BY253" s="3" t="str">
        <f t="shared" si="48"/>
        <v>Och-C_DilutionPlate</v>
      </c>
      <c r="BZ253" s="3" t="str">
        <f t="shared" si="49"/>
        <v>F1</v>
      </c>
      <c r="CA253" s="3" t="str">
        <f t="shared" si="50"/>
        <v>Och-C</v>
      </c>
      <c r="CC253" s="3">
        <v>1.5</v>
      </c>
      <c r="CD253" t="s">
        <v>533</v>
      </c>
      <c r="CE253" s="21" t="str">
        <f t="shared" si="70"/>
        <v>OcC0803309A</v>
      </c>
      <c r="CF253" s="21" t="str">
        <f t="shared" si="51"/>
        <v>Och-CTum_033-Ex1-9A-lcwgs-1-1</v>
      </c>
      <c r="CG253" s="3">
        <f t="shared" si="61"/>
        <v>0.73278512256224171</v>
      </c>
      <c r="CH253">
        <v>81232</v>
      </c>
      <c r="CI253">
        <v>65886</v>
      </c>
      <c r="CJ253" t="s">
        <v>79</v>
      </c>
      <c r="CK253" s="3">
        <v>3.62364927947654</v>
      </c>
      <c r="CL253" t="s">
        <v>1202</v>
      </c>
      <c r="CM253" s="33" t="s">
        <v>1842</v>
      </c>
      <c r="CN253" s="3" t="str">
        <f t="shared" si="69"/>
        <v>Och-CTum_033-Ex1-9A-lcwgs-1-2</v>
      </c>
      <c r="CR253"/>
    </row>
    <row r="254" spans="1:96" x14ac:dyDescent="0.55000000000000004">
      <c r="A254" t="s">
        <v>159</v>
      </c>
      <c r="B254" t="s">
        <v>160</v>
      </c>
      <c r="C254" s="3">
        <v>1</v>
      </c>
      <c r="E254" t="s">
        <v>72</v>
      </c>
      <c r="F254" s="5">
        <v>10</v>
      </c>
      <c r="G254" s="5" t="s">
        <v>83</v>
      </c>
      <c r="H254" s="3">
        <v>13.569309566787004</v>
      </c>
      <c r="I254" s="3" t="s">
        <v>74</v>
      </c>
      <c r="J254" s="3">
        <v>0.1</v>
      </c>
      <c r="K254" s="3">
        <v>7.25</v>
      </c>
      <c r="L254" s="3">
        <v>0.33</v>
      </c>
      <c r="O254" s="3">
        <v>100</v>
      </c>
      <c r="P254" s="3">
        <v>7.3695717168075783</v>
      </c>
      <c r="R254" s="3">
        <v>10</v>
      </c>
      <c r="S254" s="4">
        <v>44949</v>
      </c>
      <c r="T254" s="4"/>
      <c r="U254" s="3" t="s">
        <v>75</v>
      </c>
      <c r="V254" s="10" t="s">
        <v>83</v>
      </c>
      <c r="W254" s="10">
        <v>9</v>
      </c>
      <c r="X254" s="10" t="s">
        <v>84</v>
      </c>
      <c r="Y254" s="10">
        <v>9</v>
      </c>
      <c r="Z254">
        <v>9</v>
      </c>
      <c r="AA254" t="s">
        <v>76</v>
      </c>
      <c r="AB254" t="s">
        <v>77</v>
      </c>
      <c r="AC254" s="3" t="s">
        <v>78</v>
      </c>
      <c r="AD254" s="3">
        <v>4</v>
      </c>
      <c r="AE254">
        <v>9</v>
      </c>
      <c r="AF254" t="s">
        <v>76</v>
      </c>
      <c r="AG254" t="s">
        <v>656</v>
      </c>
      <c r="AH254" s="17" t="s">
        <v>657</v>
      </c>
      <c r="AI254" t="s">
        <v>676</v>
      </c>
      <c r="AJ254" s="18" t="s">
        <v>677</v>
      </c>
      <c r="AO254" s="3">
        <v>2.4451339883370018</v>
      </c>
      <c r="AP254" s="3">
        <v>37</v>
      </c>
      <c r="AQ254" s="3">
        <f t="shared" si="47"/>
        <v>90.46995756846907</v>
      </c>
      <c r="BE254" s="3" t="s">
        <v>79</v>
      </c>
      <c r="BF254" s="3" t="s">
        <v>80</v>
      </c>
      <c r="BG254" s="3" t="s">
        <v>416</v>
      </c>
      <c r="BH254" s="3">
        <f t="shared" si="62"/>
        <v>2</v>
      </c>
      <c r="BI254" s="3" t="str">
        <f t="shared" si="63"/>
        <v>B9</v>
      </c>
      <c r="BJ254" s="3">
        <v>1</v>
      </c>
      <c r="BK254" s="3" t="str">
        <f t="shared" si="64"/>
        <v>G7</v>
      </c>
      <c r="BL254" s="3">
        <v>1.5</v>
      </c>
      <c r="BM254" s="3">
        <v>1.5</v>
      </c>
      <c r="BN254" s="3">
        <f t="shared" si="65"/>
        <v>2.4451339883370018</v>
      </c>
      <c r="BO254" s="3">
        <f t="shared" si="66"/>
        <v>0.9451339883370018</v>
      </c>
      <c r="BP254" s="3" t="s">
        <v>420</v>
      </c>
      <c r="BQ254">
        <v>7</v>
      </c>
      <c r="BR254" t="s">
        <v>91</v>
      </c>
      <c r="BS254" s="3">
        <v>1</v>
      </c>
      <c r="BT254" s="3" t="s">
        <v>418</v>
      </c>
      <c r="BU254" s="3">
        <v>1</v>
      </c>
      <c r="BV254" s="3" t="str">
        <f t="shared" si="67"/>
        <v>G7</v>
      </c>
      <c r="BW254" s="3">
        <f t="shared" si="68"/>
        <v>0.9451339883370018</v>
      </c>
      <c r="BX254" s="21" t="s">
        <v>417</v>
      </c>
      <c r="BY254" s="3" t="str">
        <f t="shared" si="48"/>
        <v>Och-Mixed_Dilution Plate</v>
      </c>
      <c r="BZ254" s="3" t="str">
        <f t="shared" si="49"/>
        <v>G7</v>
      </c>
      <c r="CA254" s="3" t="str">
        <f t="shared" si="50"/>
        <v>Och-C</v>
      </c>
      <c r="CC254" s="3">
        <v>1.5</v>
      </c>
      <c r="CD254" t="s">
        <v>534</v>
      </c>
      <c r="CE254" s="21" t="str">
        <f t="shared" si="70"/>
        <v>OcC0803409B</v>
      </c>
      <c r="CF254" s="21" t="str">
        <f t="shared" si="51"/>
        <v>Och-CTum_034-Ex1-9B-lcwgs-1-1</v>
      </c>
      <c r="CG254" s="3">
        <f t="shared" si="61"/>
        <v>0.92019497120903493</v>
      </c>
      <c r="CH254">
        <v>32110</v>
      </c>
      <c r="CI254">
        <v>26597</v>
      </c>
      <c r="CJ254" t="s">
        <v>79</v>
      </c>
      <c r="CK254" s="3">
        <v>11.282913272935684</v>
      </c>
      <c r="CL254" t="s">
        <v>1202</v>
      </c>
      <c r="CM254" s="33" t="s">
        <v>1843</v>
      </c>
      <c r="CN254" s="3" t="str">
        <f t="shared" si="69"/>
        <v>Och-CTum_034-Ex1-9B-lcwgs-1-2</v>
      </c>
      <c r="CR254"/>
    </row>
    <row r="255" spans="1:96" x14ac:dyDescent="0.55000000000000004">
      <c r="A255" t="s">
        <v>161</v>
      </c>
      <c r="B255" t="s">
        <v>162</v>
      </c>
      <c r="C255" s="3">
        <v>1</v>
      </c>
      <c r="E255" t="s">
        <v>72</v>
      </c>
      <c r="F255" s="5">
        <v>11</v>
      </c>
      <c r="G255" s="5" t="s">
        <v>83</v>
      </c>
      <c r="H255" s="3">
        <v>14.979490072202166</v>
      </c>
      <c r="I255" s="3" t="s">
        <v>74</v>
      </c>
      <c r="J255" s="3">
        <v>0.1</v>
      </c>
      <c r="K255" s="3">
        <v>7.25</v>
      </c>
      <c r="L255" s="3">
        <v>0.33</v>
      </c>
      <c r="O255" s="3">
        <v>100</v>
      </c>
      <c r="P255" s="3">
        <v>6.6757946711131799</v>
      </c>
      <c r="R255" s="3">
        <v>10</v>
      </c>
      <c r="S255" s="4">
        <v>44949</v>
      </c>
      <c r="T255" s="4"/>
      <c r="U255" s="3" t="s">
        <v>75</v>
      </c>
      <c r="V255" s="10" t="s">
        <v>87</v>
      </c>
      <c r="W255" s="10">
        <v>9</v>
      </c>
      <c r="X255" s="10" t="s">
        <v>88</v>
      </c>
      <c r="Y255" s="10">
        <v>9</v>
      </c>
      <c r="Z255">
        <v>9</v>
      </c>
      <c r="AA255" t="s">
        <v>83</v>
      </c>
      <c r="AB255" t="s">
        <v>77</v>
      </c>
      <c r="AC255" s="3" t="s">
        <v>78</v>
      </c>
      <c r="AD255" s="3">
        <v>4</v>
      </c>
      <c r="AE255">
        <v>9</v>
      </c>
      <c r="AF255" t="s">
        <v>83</v>
      </c>
      <c r="AG255" t="s">
        <v>658</v>
      </c>
      <c r="AH255" s="17" t="s">
        <v>659</v>
      </c>
      <c r="AI255" t="s">
        <v>676</v>
      </c>
      <c r="AJ255" s="18" t="s">
        <v>677</v>
      </c>
      <c r="AO255" s="3">
        <v>3.2320573619840713</v>
      </c>
      <c r="AP255" s="3">
        <v>37</v>
      </c>
      <c r="AQ255" s="3">
        <f t="shared" si="47"/>
        <v>119.58612239341063</v>
      </c>
      <c r="BE255" s="3" t="s">
        <v>79</v>
      </c>
      <c r="BF255" s="3" t="s">
        <v>80</v>
      </c>
      <c r="BG255" s="3" t="s">
        <v>416</v>
      </c>
      <c r="BH255" s="3">
        <f t="shared" si="62"/>
        <v>2</v>
      </c>
      <c r="BI255" s="3" t="str">
        <f t="shared" si="63"/>
        <v>C9</v>
      </c>
      <c r="BJ255" s="3">
        <v>16</v>
      </c>
      <c r="BK255" s="3" t="str">
        <f t="shared" si="64"/>
        <v>G2</v>
      </c>
      <c r="BL255" s="3">
        <v>1.5</v>
      </c>
      <c r="BM255" s="3">
        <v>1.5</v>
      </c>
      <c r="BN255" s="3">
        <f t="shared" si="65"/>
        <v>3.2320573619840709</v>
      </c>
      <c r="BO255" s="3">
        <f t="shared" si="66"/>
        <v>1.7320573619840709</v>
      </c>
      <c r="BP255" s="3" t="s">
        <v>419</v>
      </c>
      <c r="BQ255">
        <v>2</v>
      </c>
      <c r="BR255" t="s">
        <v>91</v>
      </c>
      <c r="BS255" s="3">
        <v>1</v>
      </c>
      <c r="BT255" s="3" t="s">
        <v>418</v>
      </c>
      <c r="BU255" s="3">
        <v>2</v>
      </c>
      <c r="BV255" s="3" t="str">
        <f t="shared" si="67"/>
        <v>G2</v>
      </c>
      <c r="BW255" s="3">
        <f t="shared" si="68"/>
        <v>1.7320573619840709</v>
      </c>
      <c r="BX255" s="21" t="s">
        <v>417</v>
      </c>
      <c r="BY255" s="3" t="str">
        <f t="shared" si="48"/>
        <v>Och-C_DilutionPlate</v>
      </c>
      <c r="BZ255" s="3" t="str">
        <f t="shared" si="49"/>
        <v>G2</v>
      </c>
      <c r="CA255" s="3" t="str">
        <f t="shared" si="50"/>
        <v>Och-C</v>
      </c>
      <c r="CC255" s="3">
        <v>1.5</v>
      </c>
      <c r="CD255" t="s">
        <v>535</v>
      </c>
      <c r="CE255" s="21" t="str">
        <f t="shared" si="70"/>
        <v>OcC0803509C</v>
      </c>
      <c r="CF255" s="21" t="str">
        <f t="shared" si="51"/>
        <v>Och-CTum_035-Ex1-9C-lcwgs-1-1</v>
      </c>
      <c r="CG255" s="3">
        <f t="shared" si="61"/>
        <v>0.69615101095197984</v>
      </c>
      <c r="CH255">
        <v>148564</v>
      </c>
      <c r="CI255">
        <v>121314</v>
      </c>
      <c r="CJ255" t="s">
        <v>79</v>
      </c>
      <c r="CK255" s="3">
        <v>1.8671282308178203</v>
      </c>
      <c r="CL255" t="s">
        <v>1202</v>
      </c>
      <c r="CM255" s="33" t="s">
        <v>1844</v>
      </c>
      <c r="CN255" s="3" t="str">
        <f t="shared" si="69"/>
        <v>Och-CTum_035-Ex1-9C-lcwgs-1-2</v>
      </c>
      <c r="CR255"/>
    </row>
    <row r="256" spans="1:96" x14ac:dyDescent="0.55000000000000004">
      <c r="A256" t="s">
        <v>163</v>
      </c>
      <c r="B256" t="s">
        <v>164</v>
      </c>
      <c r="C256" s="3">
        <v>1</v>
      </c>
      <c r="E256" t="s">
        <v>72</v>
      </c>
      <c r="F256" s="5">
        <v>12</v>
      </c>
      <c r="G256" s="5" t="s">
        <v>83</v>
      </c>
      <c r="H256" s="3">
        <v>9.7371976534296039</v>
      </c>
      <c r="I256" s="3" t="s">
        <v>74</v>
      </c>
      <c r="J256" s="3">
        <v>0.1</v>
      </c>
      <c r="K256" s="3">
        <v>7.25</v>
      </c>
      <c r="L256" s="3">
        <v>0.33</v>
      </c>
      <c r="O256" s="3">
        <v>100</v>
      </c>
      <c r="P256" s="3">
        <v>10.269895257264119</v>
      </c>
      <c r="R256" s="3">
        <v>10</v>
      </c>
      <c r="S256" s="4">
        <v>44949</v>
      </c>
      <c r="T256" s="4"/>
      <c r="U256" s="3" t="s">
        <v>75</v>
      </c>
      <c r="V256" s="10" t="s">
        <v>91</v>
      </c>
      <c r="W256" s="10">
        <v>9</v>
      </c>
      <c r="X256" s="10" t="s">
        <v>92</v>
      </c>
      <c r="Y256" s="10">
        <v>9</v>
      </c>
      <c r="Z256">
        <v>9</v>
      </c>
      <c r="AA256" t="s">
        <v>84</v>
      </c>
      <c r="AB256" t="s">
        <v>77</v>
      </c>
      <c r="AC256" s="3" t="s">
        <v>78</v>
      </c>
      <c r="AD256" s="3">
        <v>4</v>
      </c>
      <c r="AE256">
        <v>9</v>
      </c>
      <c r="AF256" t="s">
        <v>84</v>
      </c>
      <c r="AG256" t="s">
        <v>660</v>
      </c>
      <c r="AH256" s="17" t="s">
        <v>661</v>
      </c>
      <c r="AI256" t="s">
        <v>676</v>
      </c>
      <c r="AJ256" s="18" t="s">
        <v>677</v>
      </c>
      <c r="AO256" s="3">
        <v>3.8233362074833792</v>
      </c>
      <c r="AP256" s="3">
        <v>37</v>
      </c>
      <c r="AQ256" s="3">
        <f t="shared" si="47"/>
        <v>141.46343967688503</v>
      </c>
      <c r="BE256" s="3" t="s">
        <v>79</v>
      </c>
      <c r="BF256" s="3" t="s">
        <v>80</v>
      </c>
      <c r="BG256" s="3" t="s">
        <v>416</v>
      </c>
      <c r="BH256" s="3">
        <f t="shared" si="62"/>
        <v>2</v>
      </c>
      <c r="BI256" s="3" t="str">
        <f t="shared" si="63"/>
        <v>D9</v>
      </c>
      <c r="BJ256" s="3">
        <v>36</v>
      </c>
      <c r="BK256" s="3" t="str">
        <f t="shared" si="64"/>
        <v>C5</v>
      </c>
      <c r="BL256" s="3">
        <v>1.5</v>
      </c>
      <c r="BM256" s="3">
        <v>1.5</v>
      </c>
      <c r="BN256" s="3">
        <f t="shared" si="65"/>
        <v>3.8233362074833792</v>
      </c>
      <c r="BO256" s="3">
        <f t="shared" si="66"/>
        <v>2.3233362074833792</v>
      </c>
      <c r="BP256" s="3" t="s">
        <v>419</v>
      </c>
      <c r="BQ256">
        <v>5</v>
      </c>
      <c r="BR256" t="s">
        <v>83</v>
      </c>
      <c r="BS256" s="3">
        <v>1</v>
      </c>
      <c r="BT256" s="3" t="s">
        <v>418</v>
      </c>
      <c r="BU256" s="3">
        <v>2</v>
      </c>
      <c r="BV256" s="3" t="str">
        <f t="shared" si="67"/>
        <v>C5</v>
      </c>
      <c r="BW256" s="3">
        <f t="shared" si="68"/>
        <v>2.3233362074833792</v>
      </c>
      <c r="BX256" s="21" t="s">
        <v>417</v>
      </c>
      <c r="BY256" s="3" t="str">
        <f t="shared" si="48"/>
        <v>Och-C_DilutionPlate</v>
      </c>
      <c r="BZ256" s="3" t="str">
        <f t="shared" si="49"/>
        <v>C5</v>
      </c>
      <c r="CA256" s="3" t="str">
        <f t="shared" si="50"/>
        <v>Och-C</v>
      </c>
      <c r="CC256" s="3">
        <v>1.5</v>
      </c>
      <c r="CD256" t="s">
        <v>536</v>
      </c>
      <c r="CE256" s="21" t="str">
        <f t="shared" si="70"/>
        <v>OcC0803609D</v>
      </c>
      <c r="CF256" s="21" t="str">
        <f t="shared" si="51"/>
        <v>Och-CTum_036-Ex1-9D-lcwgs-1-1</v>
      </c>
      <c r="CG256" s="3">
        <f t="shared" si="61"/>
        <v>0.58849127513193755</v>
      </c>
      <c r="CH256">
        <v>99607</v>
      </c>
      <c r="CI256">
        <v>81426</v>
      </c>
      <c r="CJ256" t="s">
        <v>79</v>
      </c>
      <c r="CK256" s="3">
        <v>2.3538390176429722</v>
      </c>
      <c r="CL256" t="s">
        <v>1202</v>
      </c>
      <c r="CM256" s="33" t="s">
        <v>1845</v>
      </c>
      <c r="CN256" s="3" t="str">
        <f t="shared" si="69"/>
        <v>Och-CTum_036-Ex1-9D-lcwgs-1-2</v>
      </c>
      <c r="CR256"/>
    </row>
    <row r="257" spans="1:96" x14ac:dyDescent="0.55000000000000004">
      <c r="A257" t="s">
        <v>165</v>
      </c>
      <c r="B257" t="s">
        <v>166</v>
      </c>
      <c r="C257" s="3">
        <v>1</v>
      </c>
      <c r="E257" t="s">
        <v>72</v>
      </c>
      <c r="F257" s="5">
        <v>1</v>
      </c>
      <c r="G257" s="5" t="s">
        <v>84</v>
      </c>
      <c r="H257" s="3">
        <v>6.8009792418772559</v>
      </c>
      <c r="I257" s="3" t="s">
        <v>74</v>
      </c>
      <c r="J257" s="3">
        <v>0.1</v>
      </c>
      <c r="K257" s="3">
        <v>7.25</v>
      </c>
      <c r="L257" s="3">
        <v>0.33</v>
      </c>
      <c r="O257" s="3">
        <v>100</v>
      </c>
      <c r="P257" s="3">
        <v>14.703764920240703</v>
      </c>
      <c r="R257" s="3">
        <v>10</v>
      </c>
      <c r="S257" s="4">
        <v>44949</v>
      </c>
      <c r="T257" s="4"/>
      <c r="U257" s="3" t="s">
        <v>75</v>
      </c>
      <c r="V257" s="10" t="s">
        <v>95</v>
      </c>
      <c r="W257" s="10">
        <v>9</v>
      </c>
      <c r="X257" s="10" t="s">
        <v>96</v>
      </c>
      <c r="Y257" s="10">
        <v>9</v>
      </c>
      <c r="Z257">
        <v>9</v>
      </c>
      <c r="AA257" t="s">
        <v>87</v>
      </c>
      <c r="AB257" t="s">
        <v>77</v>
      </c>
      <c r="AC257" s="3" t="s">
        <v>78</v>
      </c>
      <c r="AD257" s="3">
        <v>4</v>
      </c>
      <c r="AE257">
        <v>9</v>
      </c>
      <c r="AF257" t="s">
        <v>87</v>
      </c>
      <c r="AG257" t="s">
        <v>662</v>
      </c>
      <c r="AH257" s="17" t="s">
        <v>663</v>
      </c>
      <c r="AI257" t="s">
        <v>676</v>
      </c>
      <c r="AJ257" s="18" t="s">
        <v>677</v>
      </c>
      <c r="AO257" s="3">
        <v>4.9322003131310845</v>
      </c>
      <c r="AP257" s="3">
        <v>37</v>
      </c>
      <c r="AQ257" s="3">
        <f t="shared" si="47"/>
        <v>182.49141158585013</v>
      </c>
      <c r="BE257" s="3" t="s">
        <v>79</v>
      </c>
      <c r="BF257" s="3" t="s">
        <v>80</v>
      </c>
      <c r="BG257" s="3" t="s">
        <v>416</v>
      </c>
      <c r="BH257" s="3">
        <f t="shared" si="62"/>
        <v>2</v>
      </c>
      <c r="BI257" s="3" t="str">
        <f t="shared" si="63"/>
        <v>E9</v>
      </c>
      <c r="BJ257" s="3">
        <v>63</v>
      </c>
      <c r="BK257" s="3" t="str">
        <f t="shared" si="64"/>
        <v>F8</v>
      </c>
      <c r="BL257" s="3">
        <v>1.5</v>
      </c>
      <c r="BM257" s="3">
        <v>1.5</v>
      </c>
      <c r="BN257" s="3">
        <f t="shared" si="65"/>
        <v>4.9322003131310845</v>
      </c>
      <c r="BO257" s="3">
        <f t="shared" si="66"/>
        <v>3.4322003131310845</v>
      </c>
      <c r="BP257" s="3" t="s">
        <v>419</v>
      </c>
      <c r="BQ257">
        <v>8</v>
      </c>
      <c r="BR257" t="s">
        <v>88</v>
      </c>
      <c r="BS257" s="3">
        <v>1</v>
      </c>
      <c r="BT257" s="3" t="s">
        <v>418</v>
      </c>
      <c r="BU257" s="3">
        <v>2</v>
      </c>
      <c r="BV257" s="3" t="str">
        <f t="shared" si="67"/>
        <v>F8</v>
      </c>
      <c r="BW257" s="3">
        <f t="shared" si="68"/>
        <v>3.4322003131310845</v>
      </c>
      <c r="BX257" s="21" t="s">
        <v>417</v>
      </c>
      <c r="BY257" s="3" t="str">
        <f t="shared" si="48"/>
        <v>Och-C_DilutionPlate</v>
      </c>
      <c r="BZ257" s="3" t="str">
        <f t="shared" si="49"/>
        <v>F8</v>
      </c>
      <c r="CA257" s="3" t="str">
        <f t="shared" si="50"/>
        <v>Och-C</v>
      </c>
      <c r="CC257" s="3">
        <v>1.5</v>
      </c>
      <c r="CD257" t="s">
        <v>537</v>
      </c>
      <c r="CE257" s="21" t="str">
        <f t="shared" si="70"/>
        <v>OcC0803709E</v>
      </c>
      <c r="CF257" s="21" t="str">
        <f t="shared" si="51"/>
        <v>Och-CTum_037-Ex1-9E-lcwgs-1-1</v>
      </c>
      <c r="CG257" s="3">
        <f t="shared" si="61"/>
        <v>0.4561858515782064</v>
      </c>
      <c r="CH257">
        <v>80826</v>
      </c>
      <c r="CI257">
        <v>66107</v>
      </c>
      <c r="CJ257" t="s">
        <v>79</v>
      </c>
      <c r="CK257" s="3">
        <v>2.2483022922238414</v>
      </c>
      <c r="CL257" t="s">
        <v>1202</v>
      </c>
      <c r="CM257" s="33" t="s">
        <v>1846</v>
      </c>
      <c r="CN257" s="3" t="str">
        <f t="shared" si="69"/>
        <v>Och-CTum_037-Ex1-9E-lcwgs-1-2</v>
      </c>
      <c r="CR257"/>
    </row>
    <row r="258" spans="1:96" x14ac:dyDescent="0.55000000000000004">
      <c r="A258" t="s">
        <v>167</v>
      </c>
      <c r="B258" t="s">
        <v>168</v>
      </c>
      <c r="C258" s="3">
        <v>1</v>
      </c>
      <c r="E258" t="s">
        <v>72</v>
      </c>
      <c r="F258" s="5">
        <v>2</v>
      </c>
      <c r="G258" s="5" t="s">
        <v>84</v>
      </c>
      <c r="H258" s="3">
        <v>7.2635694945848375</v>
      </c>
      <c r="I258" s="3" t="s">
        <v>74</v>
      </c>
      <c r="J258" s="3">
        <v>0.1</v>
      </c>
      <c r="K258" s="3">
        <v>7.25</v>
      </c>
      <c r="L258" s="3">
        <v>0.33</v>
      </c>
      <c r="O258" s="3">
        <v>100</v>
      </c>
      <c r="P258" s="3">
        <v>13.767335753385764</v>
      </c>
      <c r="R258" s="3">
        <v>10</v>
      </c>
      <c r="S258" s="4">
        <v>44949</v>
      </c>
      <c r="T258" s="4"/>
      <c r="U258" s="3" t="s">
        <v>75</v>
      </c>
      <c r="V258" s="10" t="s">
        <v>99</v>
      </c>
      <c r="W258" s="10">
        <v>9</v>
      </c>
      <c r="X258" s="10" t="s">
        <v>100</v>
      </c>
      <c r="Y258" s="10">
        <v>9</v>
      </c>
      <c r="Z258">
        <v>9</v>
      </c>
      <c r="AA258" t="s">
        <v>88</v>
      </c>
      <c r="AB258" t="s">
        <v>77</v>
      </c>
      <c r="AC258" s="3" t="s">
        <v>78</v>
      </c>
      <c r="AD258" s="3">
        <v>4</v>
      </c>
      <c r="AE258">
        <v>9</v>
      </c>
      <c r="AF258" t="s">
        <v>88</v>
      </c>
      <c r="AG258" t="s">
        <v>664</v>
      </c>
      <c r="AH258" s="17" t="s">
        <v>665</v>
      </c>
      <c r="AI258" t="s">
        <v>676</v>
      </c>
      <c r="AJ258" s="18" t="s">
        <v>677</v>
      </c>
      <c r="AO258" s="3">
        <v>2.1630550702275873</v>
      </c>
      <c r="AP258" s="3">
        <v>37</v>
      </c>
      <c r="AQ258" s="3">
        <f t="shared" ref="AQ258:AQ321" si="71">AO258*AP258</f>
        <v>80.033037598420734</v>
      </c>
      <c r="BE258" s="3" t="s">
        <v>79</v>
      </c>
      <c r="BF258" s="3" t="s">
        <v>80</v>
      </c>
      <c r="BG258" s="3" t="s">
        <v>416</v>
      </c>
      <c r="BH258" s="3">
        <f t="shared" si="62"/>
        <v>2</v>
      </c>
      <c r="BI258" s="3" t="str">
        <f t="shared" si="63"/>
        <v>F9</v>
      </c>
      <c r="BJ258" s="3">
        <v>1</v>
      </c>
      <c r="BK258" s="3" t="str">
        <f t="shared" si="64"/>
        <v>A7</v>
      </c>
      <c r="BL258" s="3">
        <v>1.5</v>
      </c>
      <c r="BM258" s="3">
        <v>1.5</v>
      </c>
      <c r="BN258" s="3">
        <f t="shared" si="65"/>
        <v>2.1630550702275873</v>
      </c>
      <c r="BO258" s="3">
        <f t="shared" si="66"/>
        <v>0.66305507022758725</v>
      </c>
      <c r="BP258" s="3" t="s">
        <v>420</v>
      </c>
      <c r="BQ258">
        <v>7</v>
      </c>
      <c r="BR258" t="s">
        <v>73</v>
      </c>
      <c r="BS258" s="3">
        <v>1</v>
      </c>
      <c r="BT258" s="3" t="s">
        <v>418</v>
      </c>
      <c r="BU258" s="3">
        <v>1</v>
      </c>
      <c r="BV258" s="3" t="str">
        <f t="shared" si="67"/>
        <v>A7</v>
      </c>
      <c r="BW258" s="3">
        <f t="shared" si="68"/>
        <v>0.66305507022758725</v>
      </c>
      <c r="BX258" s="21" t="s">
        <v>417</v>
      </c>
      <c r="BY258" s="3" t="str">
        <f t="shared" si="48"/>
        <v>Och-Mixed_Dilution Plate</v>
      </c>
      <c r="BZ258" s="3" t="str">
        <f t="shared" si="49"/>
        <v>A7</v>
      </c>
      <c r="CA258" s="3" t="str">
        <f t="shared" si="50"/>
        <v>Och-C</v>
      </c>
      <c r="CC258" s="3">
        <v>1.5</v>
      </c>
      <c r="CD258" t="s">
        <v>538</v>
      </c>
      <c r="CE258" s="21" t="str">
        <f t="shared" si="70"/>
        <v>OcC0803809F</v>
      </c>
      <c r="CF258" s="21" t="str">
        <f t="shared" si="51"/>
        <v>Och-CTum_038-Ex1-9F-lcwgs-1-1</v>
      </c>
      <c r="CG258" s="3">
        <f t="shared" si="61"/>
        <v>1.0401954305135952</v>
      </c>
      <c r="CH258">
        <v>158667</v>
      </c>
      <c r="CI258">
        <v>132944</v>
      </c>
      <c r="CJ258" t="s">
        <v>79</v>
      </c>
      <c r="CK258" s="3">
        <v>2.5451055337578472</v>
      </c>
      <c r="CL258" t="s">
        <v>1202</v>
      </c>
      <c r="CM258" s="33" t="s">
        <v>1847</v>
      </c>
      <c r="CN258" s="3" t="str">
        <f t="shared" si="69"/>
        <v>Och-CTum_038-Ex1-9F-lcwgs-1-2</v>
      </c>
      <c r="CR258"/>
    </row>
    <row r="259" spans="1:96" x14ac:dyDescent="0.55000000000000004">
      <c r="A259" t="s">
        <v>169</v>
      </c>
      <c r="B259" t="s">
        <v>170</v>
      </c>
      <c r="C259" s="3">
        <v>1</v>
      </c>
      <c r="E259" t="s">
        <v>72</v>
      </c>
      <c r="F259" s="5">
        <v>3</v>
      </c>
      <c r="G259" s="5" t="s">
        <v>84</v>
      </c>
      <c r="H259" s="3">
        <v>9.7935830324909752</v>
      </c>
      <c r="I259" s="3" t="s">
        <v>74</v>
      </c>
      <c r="J259" s="3">
        <v>0.1</v>
      </c>
      <c r="K259" s="3">
        <v>7.25</v>
      </c>
      <c r="L259" s="3">
        <v>0.33</v>
      </c>
      <c r="O259" s="3">
        <v>100</v>
      </c>
      <c r="P259" s="3">
        <v>10.21076756772697</v>
      </c>
      <c r="R259" s="3">
        <v>10</v>
      </c>
      <c r="S259" s="4">
        <v>44949</v>
      </c>
      <c r="T259" s="4"/>
      <c r="U259" s="3" t="s">
        <v>75</v>
      </c>
      <c r="V259" s="10" t="s">
        <v>103</v>
      </c>
      <c r="W259" s="10">
        <v>9</v>
      </c>
      <c r="X259" s="10" t="s">
        <v>104</v>
      </c>
      <c r="Y259" s="10">
        <v>9</v>
      </c>
      <c r="Z259">
        <v>9</v>
      </c>
      <c r="AA259" t="s">
        <v>91</v>
      </c>
      <c r="AB259" t="s">
        <v>77</v>
      </c>
      <c r="AC259" s="3" t="s">
        <v>78</v>
      </c>
      <c r="AD259" s="3">
        <v>4</v>
      </c>
      <c r="AE259">
        <v>9</v>
      </c>
      <c r="AF259" t="s">
        <v>91</v>
      </c>
      <c r="AG259" t="s">
        <v>666</v>
      </c>
      <c r="AH259" s="17" t="s">
        <v>667</v>
      </c>
      <c r="AI259" t="s">
        <v>676</v>
      </c>
      <c r="AJ259" s="18" t="s">
        <v>677</v>
      </c>
      <c r="AO259" s="3">
        <v>5.505996006444148</v>
      </c>
      <c r="AP259" s="3">
        <v>37</v>
      </c>
      <c r="AQ259" s="3">
        <f t="shared" si="71"/>
        <v>203.72185223843348</v>
      </c>
      <c r="BE259" s="3" t="s">
        <v>79</v>
      </c>
      <c r="BF259" s="3" t="s">
        <v>80</v>
      </c>
      <c r="BG259" s="3" t="s">
        <v>416</v>
      </c>
      <c r="BH259" s="3">
        <f t="shared" si="62"/>
        <v>2</v>
      </c>
      <c r="BI259" s="3" t="str">
        <f t="shared" si="63"/>
        <v>G9</v>
      </c>
      <c r="BJ259" s="3">
        <v>74</v>
      </c>
      <c r="BK259" s="3" t="str">
        <f t="shared" si="64"/>
        <v>A10</v>
      </c>
      <c r="BL259" s="3">
        <v>1.5</v>
      </c>
      <c r="BM259" s="3">
        <v>1.5</v>
      </c>
      <c r="BN259" s="3">
        <f t="shared" si="65"/>
        <v>5.5059960064441471</v>
      </c>
      <c r="BO259" s="3">
        <f t="shared" si="66"/>
        <v>4.0059960064441471</v>
      </c>
      <c r="BP259" s="3" t="s">
        <v>419</v>
      </c>
      <c r="BQ259">
        <v>10</v>
      </c>
      <c r="BR259" t="s">
        <v>73</v>
      </c>
      <c r="BS259" s="3">
        <v>1</v>
      </c>
      <c r="BT259" s="3" t="s">
        <v>418</v>
      </c>
      <c r="BU259" s="3">
        <v>2</v>
      </c>
      <c r="BV259" s="3" t="str">
        <f t="shared" si="67"/>
        <v>A10</v>
      </c>
      <c r="BW259" s="3">
        <f t="shared" si="68"/>
        <v>4.0059960064441471</v>
      </c>
      <c r="BX259" s="21" t="s">
        <v>417</v>
      </c>
      <c r="BY259" s="3" t="str">
        <f t="shared" si="48"/>
        <v>Och-C_DilutionPlate</v>
      </c>
      <c r="BZ259" s="3" t="str">
        <f t="shared" si="49"/>
        <v>A10</v>
      </c>
      <c r="CA259" s="3" t="str">
        <f t="shared" si="50"/>
        <v>Och-C</v>
      </c>
      <c r="CC259" s="3">
        <v>1.5</v>
      </c>
      <c r="CD259" t="s">
        <v>539</v>
      </c>
      <c r="CE259" s="21" t="str">
        <f t="shared" si="70"/>
        <v>OcC0803909G</v>
      </c>
      <c r="CF259" s="21" t="str">
        <f t="shared" si="51"/>
        <v>Och-CTum_039-Ex1-9G-lcwgs-1-1</v>
      </c>
      <c r="CG259" s="3">
        <f t="shared" si="61"/>
        <v>0.40864541081516026</v>
      </c>
      <c r="CH259">
        <v>3822</v>
      </c>
      <c r="CI259">
        <v>3272</v>
      </c>
      <c r="CJ259" t="s">
        <v>79</v>
      </c>
      <c r="CK259" s="3">
        <v>40.752234689341918</v>
      </c>
      <c r="CL259" t="s">
        <v>1202</v>
      </c>
      <c r="CM259" s="33" t="s">
        <v>1848</v>
      </c>
      <c r="CN259" s="3" t="str">
        <f t="shared" si="69"/>
        <v>Och-CTum_039-Ex1-9G-lcwgs-1-2</v>
      </c>
      <c r="CR259"/>
    </row>
    <row r="260" spans="1:96" x14ac:dyDescent="0.55000000000000004">
      <c r="A260" t="s">
        <v>171</v>
      </c>
      <c r="B260" t="s">
        <v>172</v>
      </c>
      <c r="C260" s="3">
        <v>1</v>
      </c>
      <c r="E260" t="s">
        <v>72</v>
      </c>
      <c r="F260" s="5">
        <v>4</v>
      </c>
      <c r="G260" s="5" t="s">
        <v>84</v>
      </c>
      <c r="H260" s="3">
        <v>4.3110559566787003</v>
      </c>
      <c r="I260" s="3" t="s">
        <v>74</v>
      </c>
      <c r="J260" s="3">
        <v>0.1</v>
      </c>
      <c r="K260" s="3">
        <v>7.25</v>
      </c>
      <c r="L260" s="3">
        <v>0.33</v>
      </c>
      <c r="O260" s="3">
        <v>100</v>
      </c>
      <c r="P260" s="3">
        <v>23.196173050150211</v>
      </c>
      <c r="R260" s="3">
        <v>10</v>
      </c>
      <c r="S260" s="4">
        <v>44949</v>
      </c>
      <c r="T260" s="4"/>
      <c r="U260" s="3" t="s">
        <v>75</v>
      </c>
      <c r="V260" s="10" t="s">
        <v>107</v>
      </c>
      <c r="W260" s="10">
        <v>9</v>
      </c>
      <c r="X260" s="10" t="s">
        <v>108</v>
      </c>
      <c r="Y260" s="10">
        <v>9</v>
      </c>
      <c r="Z260">
        <v>9</v>
      </c>
      <c r="AA260" t="s">
        <v>92</v>
      </c>
      <c r="AB260" t="s">
        <v>77</v>
      </c>
      <c r="AC260" s="3" t="s">
        <v>78</v>
      </c>
      <c r="AD260" s="3">
        <v>4</v>
      </c>
      <c r="AE260">
        <v>9</v>
      </c>
      <c r="AF260" t="s">
        <v>92</v>
      </c>
      <c r="AG260" t="s">
        <v>668</v>
      </c>
      <c r="AH260" s="17" t="s">
        <v>669</v>
      </c>
      <c r="AI260" t="s">
        <v>676</v>
      </c>
      <c r="AJ260" s="18" t="s">
        <v>677</v>
      </c>
      <c r="AO260" s="3">
        <v>4.9885809262326699</v>
      </c>
      <c r="AP260" s="3">
        <v>37</v>
      </c>
      <c r="AQ260" s="3">
        <f t="shared" si="71"/>
        <v>184.57749427060878</v>
      </c>
      <c r="BE260" s="3" t="s">
        <v>79</v>
      </c>
      <c r="BF260" s="3" t="s">
        <v>80</v>
      </c>
      <c r="BG260" s="3" t="s">
        <v>416</v>
      </c>
      <c r="BH260" s="3">
        <f t="shared" si="62"/>
        <v>2</v>
      </c>
      <c r="BI260" s="3" t="str">
        <f t="shared" si="63"/>
        <v>H9</v>
      </c>
      <c r="BJ260" s="3">
        <v>64</v>
      </c>
      <c r="BK260" s="3" t="str">
        <f t="shared" si="64"/>
        <v>G8</v>
      </c>
      <c r="BL260" s="3">
        <v>1.5</v>
      </c>
      <c r="BM260" s="3">
        <v>1.5</v>
      </c>
      <c r="BN260" s="3">
        <f t="shared" si="65"/>
        <v>4.9885809262326699</v>
      </c>
      <c r="BO260" s="3">
        <f t="shared" si="66"/>
        <v>3.4885809262326699</v>
      </c>
      <c r="BP260" s="3" t="s">
        <v>419</v>
      </c>
      <c r="BQ260">
        <v>8</v>
      </c>
      <c r="BR260" t="s">
        <v>91</v>
      </c>
      <c r="BS260" s="3">
        <v>1</v>
      </c>
      <c r="BT260" s="3" t="s">
        <v>418</v>
      </c>
      <c r="BU260" s="3">
        <v>2</v>
      </c>
      <c r="BV260" s="3" t="str">
        <f t="shared" si="67"/>
        <v>G8</v>
      </c>
      <c r="BW260" s="3">
        <f t="shared" si="68"/>
        <v>3.4885809262326699</v>
      </c>
      <c r="BX260" s="21" t="s">
        <v>417</v>
      </c>
      <c r="BY260" s="3" t="str">
        <f t="shared" si="48"/>
        <v>Och-C_DilutionPlate</v>
      </c>
      <c r="BZ260" s="3" t="str">
        <f t="shared" si="49"/>
        <v>G8</v>
      </c>
      <c r="CA260" s="3" t="str">
        <f t="shared" si="50"/>
        <v>Och-C</v>
      </c>
      <c r="CC260" s="3">
        <v>1.5</v>
      </c>
      <c r="CD260" t="s">
        <v>540</v>
      </c>
      <c r="CE260" s="21" t="str">
        <f t="shared" si="70"/>
        <v>OcC0804009H</v>
      </c>
      <c r="CF260" s="21" t="str">
        <f t="shared" si="51"/>
        <v>Och-CTum_040-Ex1-9H-lcwgs-1-1</v>
      </c>
      <c r="CG260" s="3">
        <f t="shared" si="61"/>
        <v>0.45103006912612709</v>
      </c>
      <c r="CH260">
        <v>5635</v>
      </c>
      <c r="CI260">
        <v>4683</v>
      </c>
      <c r="CJ260" t="s">
        <v>79</v>
      </c>
      <c r="CK260" s="3">
        <v>31.425679479374345</v>
      </c>
      <c r="CL260" t="s">
        <v>1202</v>
      </c>
      <c r="CM260" s="33" t="s">
        <v>1849</v>
      </c>
      <c r="CN260" s="3" t="str">
        <f t="shared" si="69"/>
        <v>Och-CTum_040-Ex1-9H-lcwgs-1-2</v>
      </c>
      <c r="CR260"/>
    </row>
    <row r="261" spans="1:96" x14ac:dyDescent="0.55000000000000004">
      <c r="A261" t="s">
        <v>173</v>
      </c>
      <c r="B261" t="s">
        <v>174</v>
      </c>
      <c r="C261" s="3">
        <v>1</v>
      </c>
      <c r="E261" t="s">
        <v>72</v>
      </c>
      <c r="F261" s="5">
        <v>5</v>
      </c>
      <c r="G261" s="5" t="s">
        <v>84</v>
      </c>
      <c r="H261" s="3">
        <v>3.0950767148014444</v>
      </c>
      <c r="I261" s="3" t="s">
        <v>74</v>
      </c>
      <c r="J261" s="3">
        <v>0.1</v>
      </c>
      <c r="K261" s="3">
        <v>7.25</v>
      </c>
      <c r="L261" s="3">
        <v>0.33</v>
      </c>
      <c r="O261" s="3">
        <v>100</v>
      </c>
      <c r="P261" s="3">
        <v>32.309376863511829</v>
      </c>
      <c r="R261" s="3">
        <v>10</v>
      </c>
      <c r="S261" s="4">
        <v>44949</v>
      </c>
      <c r="T261" s="4"/>
      <c r="U261" s="3" t="s">
        <v>75</v>
      </c>
      <c r="V261" s="10" t="s">
        <v>73</v>
      </c>
      <c r="W261" s="10">
        <v>10</v>
      </c>
      <c r="X261" s="10" t="s">
        <v>76</v>
      </c>
      <c r="Y261" s="10">
        <v>10</v>
      </c>
      <c r="Z261">
        <v>10</v>
      </c>
      <c r="AA261" t="s">
        <v>73</v>
      </c>
      <c r="AB261" t="s">
        <v>77</v>
      </c>
      <c r="AC261" s="3" t="s">
        <v>78</v>
      </c>
      <c r="AD261" s="3">
        <v>4</v>
      </c>
      <c r="AE261">
        <v>10</v>
      </c>
      <c r="AF261" t="s">
        <v>73</v>
      </c>
      <c r="AG261" t="s">
        <v>652</v>
      </c>
      <c r="AH261" s="17" t="s">
        <v>653</v>
      </c>
      <c r="AI261" t="s">
        <v>678</v>
      </c>
      <c r="AJ261" s="18" t="s">
        <v>679</v>
      </c>
      <c r="AO261" s="3">
        <v>3.8508996845998507</v>
      </c>
      <c r="AP261" s="3">
        <v>37</v>
      </c>
      <c r="AQ261" s="3">
        <f t="shared" si="71"/>
        <v>142.48328833019448</v>
      </c>
      <c r="BE261" s="3" t="s">
        <v>79</v>
      </c>
      <c r="BF261" s="3" t="s">
        <v>80</v>
      </c>
      <c r="BG261" s="3" t="s">
        <v>416</v>
      </c>
      <c r="BH261" s="3">
        <f t="shared" si="62"/>
        <v>2</v>
      </c>
      <c r="BI261" s="3" t="str">
        <f t="shared" si="63"/>
        <v>A10</v>
      </c>
      <c r="BJ261" s="3">
        <v>37</v>
      </c>
      <c r="BK261" s="3" t="str">
        <f t="shared" si="64"/>
        <v>D5</v>
      </c>
      <c r="BL261" s="3">
        <v>1.5</v>
      </c>
      <c r="BM261" s="3">
        <v>1.5</v>
      </c>
      <c r="BN261" s="3">
        <f t="shared" si="65"/>
        <v>3.8508996845998507</v>
      </c>
      <c r="BO261" s="3">
        <f t="shared" si="66"/>
        <v>2.3508996845998507</v>
      </c>
      <c r="BP261" s="3" t="s">
        <v>419</v>
      </c>
      <c r="BQ261">
        <v>5</v>
      </c>
      <c r="BR261" t="s">
        <v>84</v>
      </c>
      <c r="BS261" s="3">
        <v>1</v>
      </c>
      <c r="BT261" s="3" t="s">
        <v>418</v>
      </c>
      <c r="BU261" s="3">
        <v>2</v>
      </c>
      <c r="BV261" s="3" t="str">
        <f t="shared" si="67"/>
        <v>D5</v>
      </c>
      <c r="BW261" s="3">
        <f t="shared" si="68"/>
        <v>2.3508996845998507</v>
      </c>
      <c r="BX261" s="21" t="s">
        <v>417</v>
      </c>
      <c r="BY261" s="3" t="str">
        <f t="shared" si="48"/>
        <v>Och-C_DilutionPlate</v>
      </c>
      <c r="BZ261" s="3" t="str">
        <f t="shared" si="49"/>
        <v>D5</v>
      </c>
      <c r="CA261" s="3" t="str">
        <f t="shared" si="50"/>
        <v>Och-C</v>
      </c>
      <c r="CC261" s="3">
        <v>1.5</v>
      </c>
      <c r="CD261" t="s">
        <v>541</v>
      </c>
      <c r="CE261" s="21" t="str">
        <f t="shared" si="70"/>
        <v>OcC0804110A</v>
      </c>
      <c r="CF261" s="21" t="str">
        <f t="shared" si="51"/>
        <v>Och-CTum_041-Ex1-10A-lcwgs-1-1</v>
      </c>
      <c r="CG261" s="3">
        <f t="shared" si="61"/>
        <v>0.5842790475685421</v>
      </c>
      <c r="CH261">
        <v>28384</v>
      </c>
      <c r="CI261">
        <v>23860</v>
      </c>
      <c r="CJ261" t="s">
        <v>79</v>
      </c>
      <c r="CK261" s="3">
        <v>7.9864277175778904</v>
      </c>
      <c r="CL261" t="s">
        <v>1202</v>
      </c>
      <c r="CM261" s="33" t="s">
        <v>1850</v>
      </c>
      <c r="CN261" s="3" t="str">
        <f t="shared" si="69"/>
        <v>Och-CTum_041-Ex1-10A-lcwgs-1-2</v>
      </c>
      <c r="CR261"/>
    </row>
    <row r="262" spans="1:96" x14ac:dyDescent="0.55000000000000004">
      <c r="A262" t="s">
        <v>175</v>
      </c>
      <c r="B262" t="s">
        <v>176</v>
      </c>
      <c r="C262" s="3">
        <v>1</v>
      </c>
      <c r="E262" t="s">
        <v>72</v>
      </c>
      <c r="F262" s="5">
        <v>6</v>
      </c>
      <c r="G262" s="5" t="s">
        <v>84</v>
      </c>
      <c r="H262" s="3">
        <v>5.7253610108303246</v>
      </c>
      <c r="I262" s="3" t="s">
        <v>74</v>
      </c>
      <c r="J262" s="3">
        <v>0.1</v>
      </c>
      <c r="K262" s="3">
        <v>7.25</v>
      </c>
      <c r="L262" s="3">
        <v>0.33</v>
      </c>
      <c r="O262" s="3">
        <v>100</v>
      </c>
      <c r="P262" s="3">
        <v>17.46614751643363</v>
      </c>
      <c r="R262" s="3">
        <v>10</v>
      </c>
      <c r="S262" s="4">
        <v>44949</v>
      </c>
      <c r="T262" s="4"/>
      <c r="U262" s="3" t="s">
        <v>75</v>
      </c>
      <c r="V262" s="10" t="s">
        <v>83</v>
      </c>
      <c r="W262" s="10">
        <v>10</v>
      </c>
      <c r="X262" s="10" t="s">
        <v>84</v>
      </c>
      <c r="Y262" s="10">
        <v>10</v>
      </c>
      <c r="Z262">
        <v>10</v>
      </c>
      <c r="AA262" t="s">
        <v>76</v>
      </c>
      <c r="AB262" t="s">
        <v>77</v>
      </c>
      <c r="AC262" s="3" t="s">
        <v>78</v>
      </c>
      <c r="AD262" s="3">
        <v>4</v>
      </c>
      <c r="AE262">
        <v>10</v>
      </c>
      <c r="AF262" t="s">
        <v>76</v>
      </c>
      <c r="AG262" t="s">
        <v>656</v>
      </c>
      <c r="AH262" s="17" t="s">
        <v>657</v>
      </c>
      <c r="AI262" t="s">
        <v>678</v>
      </c>
      <c r="AJ262" s="18" t="s">
        <v>679</v>
      </c>
      <c r="AO262" s="3">
        <v>3.944368178620862</v>
      </c>
      <c r="AP262" s="3">
        <v>37</v>
      </c>
      <c r="AQ262" s="3">
        <f t="shared" si="71"/>
        <v>145.9416226089719</v>
      </c>
      <c r="BE262" s="3" t="s">
        <v>79</v>
      </c>
      <c r="BF262" s="3" t="s">
        <v>80</v>
      </c>
      <c r="BG262" s="3" t="s">
        <v>416</v>
      </c>
      <c r="BH262" s="3">
        <f t="shared" si="62"/>
        <v>2</v>
      </c>
      <c r="BI262" s="3" t="str">
        <f t="shared" si="63"/>
        <v>B10</v>
      </c>
      <c r="BJ262" s="3">
        <v>39</v>
      </c>
      <c r="BK262" s="3" t="str">
        <f t="shared" si="64"/>
        <v>F5</v>
      </c>
      <c r="BL262" s="3">
        <v>1.5</v>
      </c>
      <c r="BM262" s="3">
        <v>1.5</v>
      </c>
      <c r="BN262" s="3">
        <f t="shared" si="65"/>
        <v>3.9443681786208615</v>
      </c>
      <c r="BO262" s="3">
        <f t="shared" si="66"/>
        <v>2.4443681786208615</v>
      </c>
      <c r="BP262" s="3" t="s">
        <v>419</v>
      </c>
      <c r="BQ262">
        <v>5</v>
      </c>
      <c r="BR262" t="s">
        <v>88</v>
      </c>
      <c r="BS262" s="3">
        <v>1</v>
      </c>
      <c r="BT262" s="3" t="s">
        <v>418</v>
      </c>
      <c r="BU262" s="3">
        <v>2</v>
      </c>
      <c r="BV262" s="3" t="str">
        <f t="shared" si="67"/>
        <v>F5</v>
      </c>
      <c r="BW262" s="3">
        <f t="shared" si="68"/>
        <v>2.4443681786208615</v>
      </c>
      <c r="BX262" s="21" t="s">
        <v>417</v>
      </c>
      <c r="BY262" s="3" t="str">
        <f t="shared" si="48"/>
        <v>Och-C_DilutionPlate</v>
      </c>
      <c r="BZ262" s="3" t="str">
        <f t="shared" si="49"/>
        <v>F5</v>
      </c>
      <c r="CA262" s="3" t="str">
        <f t="shared" si="50"/>
        <v>Och-C</v>
      </c>
      <c r="CC262" s="3">
        <v>1.5</v>
      </c>
      <c r="CD262" t="s">
        <v>542</v>
      </c>
      <c r="CE262" s="21" t="str">
        <f t="shared" si="70"/>
        <v>OcC0804210B</v>
      </c>
      <c r="CF262" s="21" t="str">
        <f t="shared" si="51"/>
        <v>Och-CTum_042-Ex1-10B-lcwgs-1-1</v>
      </c>
      <c r="CG262" s="3">
        <f t="shared" si="61"/>
        <v>0.57043356454282801</v>
      </c>
      <c r="CH262">
        <v>165715</v>
      </c>
      <c r="CI262">
        <v>137596</v>
      </c>
      <c r="CJ262" t="s">
        <v>79</v>
      </c>
      <c r="CK262" s="3">
        <v>1.3483729843082812</v>
      </c>
      <c r="CL262" t="s">
        <v>1202</v>
      </c>
      <c r="CM262" s="33" t="s">
        <v>1851</v>
      </c>
      <c r="CN262" s="3" t="str">
        <f t="shared" si="69"/>
        <v>Och-CTum_042-Ex1-10B-lcwgs-1-2</v>
      </c>
      <c r="CR262"/>
    </row>
    <row r="263" spans="1:96" x14ac:dyDescent="0.55000000000000004">
      <c r="A263" t="s">
        <v>177</v>
      </c>
      <c r="B263" t="s">
        <v>178</v>
      </c>
      <c r="C263" s="3">
        <v>1</v>
      </c>
      <c r="E263" t="s">
        <v>72</v>
      </c>
      <c r="F263" s="5">
        <v>7</v>
      </c>
      <c r="G263" s="5" t="s">
        <v>84</v>
      </c>
      <c r="H263" s="3">
        <v>8.9920848375451268</v>
      </c>
      <c r="I263" s="3" t="s">
        <v>74</v>
      </c>
      <c r="J263" s="3">
        <v>0.1</v>
      </c>
      <c r="K263" s="3">
        <v>7.25</v>
      </c>
      <c r="L263" s="3">
        <v>0.33</v>
      </c>
      <c r="O263" s="3">
        <v>100</v>
      </c>
      <c r="P263" s="3">
        <v>11.120891518112098</v>
      </c>
      <c r="R263" s="3">
        <v>10</v>
      </c>
      <c r="S263" s="4">
        <v>44949</v>
      </c>
      <c r="T263" s="4"/>
      <c r="U263" s="3" t="s">
        <v>75</v>
      </c>
      <c r="V263" s="10" t="s">
        <v>87</v>
      </c>
      <c r="W263" s="10">
        <v>10</v>
      </c>
      <c r="X263" s="10" t="s">
        <v>88</v>
      </c>
      <c r="Y263" s="10">
        <v>10</v>
      </c>
      <c r="Z263">
        <v>10</v>
      </c>
      <c r="AA263" t="s">
        <v>83</v>
      </c>
      <c r="AB263" t="s">
        <v>77</v>
      </c>
      <c r="AC263" s="3" t="s">
        <v>78</v>
      </c>
      <c r="AD263" s="3">
        <v>4</v>
      </c>
      <c r="AE263">
        <v>10</v>
      </c>
      <c r="AF263" t="s">
        <v>83</v>
      </c>
      <c r="AG263" t="s">
        <v>658</v>
      </c>
      <c r="AH263" s="17" t="s">
        <v>659</v>
      </c>
      <c r="AI263" t="s">
        <v>678</v>
      </c>
      <c r="AJ263" s="18" t="s">
        <v>679</v>
      </c>
      <c r="AO263" s="3">
        <v>3.1107474302829528</v>
      </c>
      <c r="AP263" s="3">
        <v>37</v>
      </c>
      <c r="AQ263" s="3">
        <f t="shared" si="71"/>
        <v>115.09765492046925</v>
      </c>
      <c r="BE263" s="3" t="s">
        <v>79</v>
      </c>
      <c r="BF263" s="3" t="s">
        <v>80</v>
      </c>
      <c r="BG263" s="3" t="s">
        <v>416</v>
      </c>
      <c r="BH263" s="3">
        <f t="shared" si="62"/>
        <v>2</v>
      </c>
      <c r="BI263" s="3" t="str">
        <f t="shared" si="63"/>
        <v>C10</v>
      </c>
      <c r="BJ263" s="3">
        <v>11</v>
      </c>
      <c r="BK263" s="3" t="str">
        <f t="shared" si="64"/>
        <v>B2</v>
      </c>
      <c r="BL263" s="3">
        <v>1.5</v>
      </c>
      <c r="BM263" s="3">
        <v>1.5</v>
      </c>
      <c r="BN263" s="3">
        <f t="shared" si="65"/>
        <v>3.1107474302829528</v>
      </c>
      <c r="BO263" s="3">
        <f t="shared" si="66"/>
        <v>1.6107474302829528</v>
      </c>
      <c r="BP263" s="3" t="s">
        <v>419</v>
      </c>
      <c r="BQ263">
        <v>2</v>
      </c>
      <c r="BR263" t="s">
        <v>76</v>
      </c>
      <c r="BS263" s="3">
        <v>1</v>
      </c>
      <c r="BT263" s="3" t="s">
        <v>418</v>
      </c>
      <c r="BU263" s="3">
        <v>2</v>
      </c>
      <c r="BV263" s="3" t="str">
        <f t="shared" si="67"/>
        <v>B2</v>
      </c>
      <c r="BW263" s="3">
        <f t="shared" si="68"/>
        <v>1.6107474302829528</v>
      </c>
      <c r="BX263" s="21" t="s">
        <v>417</v>
      </c>
      <c r="BY263" s="3" t="str">
        <f t="shared" si="48"/>
        <v>Och-C_DilutionPlate</v>
      </c>
      <c r="BZ263" s="3" t="str">
        <f t="shared" si="49"/>
        <v>B2</v>
      </c>
      <c r="CA263" s="3" t="str">
        <f t="shared" si="50"/>
        <v>Och-C</v>
      </c>
      <c r="CC263" s="3">
        <v>1.5</v>
      </c>
      <c r="CD263" t="s">
        <v>543</v>
      </c>
      <c r="CE263" s="21" t="str">
        <f t="shared" si="70"/>
        <v>OcC0804310C</v>
      </c>
      <c r="CF263" s="21" t="str">
        <f t="shared" si="51"/>
        <v>Och-CTum_043-Ex1-10C-lcwgs-1-1</v>
      </c>
      <c r="CG263" s="3">
        <f t="shared" si="61"/>
        <v>0.72329883747435608</v>
      </c>
      <c r="CH263">
        <v>777369</v>
      </c>
      <c r="CI263">
        <v>651069</v>
      </c>
      <c r="CJ263" t="s">
        <v>79</v>
      </c>
      <c r="CK263" s="3">
        <v>0.35684483884854401</v>
      </c>
      <c r="CL263" t="s">
        <v>1202</v>
      </c>
      <c r="CM263" s="33" t="s">
        <v>1852</v>
      </c>
      <c r="CN263" s="3" t="str">
        <f t="shared" si="69"/>
        <v>Och-CTum_043-Ex1-10C-lcwgs-1-2</v>
      </c>
      <c r="CR263"/>
    </row>
    <row r="264" spans="1:96" x14ac:dyDescent="0.55000000000000004">
      <c r="A264" t="s">
        <v>179</v>
      </c>
      <c r="B264" t="s">
        <v>180</v>
      </c>
      <c r="C264" s="3">
        <v>1</v>
      </c>
      <c r="E264" t="s">
        <v>72</v>
      </c>
      <c r="F264" s="5">
        <v>8</v>
      </c>
      <c r="G264" s="5" t="s">
        <v>84</v>
      </c>
      <c r="H264" s="3">
        <v>7.2836462093862817</v>
      </c>
      <c r="I264" s="3" t="s">
        <v>74</v>
      </c>
      <c r="J264" s="3">
        <v>0.1</v>
      </c>
      <c r="K264" s="3">
        <v>7.25</v>
      </c>
      <c r="L264" s="3">
        <v>0.33</v>
      </c>
      <c r="O264" s="3">
        <v>100</v>
      </c>
      <c r="P264" s="3">
        <v>13.729387332285869</v>
      </c>
      <c r="R264" s="3">
        <v>10</v>
      </c>
      <c r="S264" s="4">
        <v>44949</v>
      </c>
      <c r="T264" s="4"/>
      <c r="U264" s="3" t="s">
        <v>75</v>
      </c>
      <c r="V264" s="10" t="s">
        <v>91</v>
      </c>
      <c r="W264" s="10">
        <v>10</v>
      </c>
      <c r="X264" s="10" t="s">
        <v>92</v>
      </c>
      <c r="Y264" s="10">
        <v>10</v>
      </c>
      <c r="Z264">
        <v>10</v>
      </c>
      <c r="AA264" t="s">
        <v>84</v>
      </c>
      <c r="AB264" t="s">
        <v>77</v>
      </c>
      <c r="AC264" s="3" t="s">
        <v>78</v>
      </c>
      <c r="AD264" s="3">
        <v>4</v>
      </c>
      <c r="AE264">
        <v>10</v>
      </c>
      <c r="AF264" t="s">
        <v>84</v>
      </c>
      <c r="AG264" t="s">
        <v>660</v>
      </c>
      <c r="AH264" s="17" t="s">
        <v>661</v>
      </c>
      <c r="AI264" t="s">
        <v>678</v>
      </c>
      <c r="AJ264" s="18" t="s">
        <v>679</v>
      </c>
      <c r="AO264" s="3">
        <v>3.729357173651608</v>
      </c>
      <c r="AP264" s="3">
        <v>37</v>
      </c>
      <c r="AQ264" s="3">
        <f t="shared" si="71"/>
        <v>137.98621542510949</v>
      </c>
      <c r="BE264" s="3" t="s">
        <v>79</v>
      </c>
      <c r="BF264" s="3" t="s">
        <v>80</v>
      </c>
      <c r="BG264" s="3" t="s">
        <v>416</v>
      </c>
      <c r="BH264" s="3">
        <f t="shared" si="62"/>
        <v>2</v>
      </c>
      <c r="BI264" s="3" t="str">
        <f t="shared" si="63"/>
        <v>D10</v>
      </c>
      <c r="BJ264" s="3">
        <v>30</v>
      </c>
      <c r="BK264" s="3" t="str">
        <f t="shared" si="64"/>
        <v>E4</v>
      </c>
      <c r="BL264" s="3">
        <v>1.5</v>
      </c>
      <c r="BM264" s="3">
        <v>1.5</v>
      </c>
      <c r="BN264" s="3">
        <f t="shared" si="65"/>
        <v>3.7293571736516085</v>
      </c>
      <c r="BO264" s="3">
        <f t="shared" si="66"/>
        <v>2.2293571736516085</v>
      </c>
      <c r="BP264" s="3" t="s">
        <v>419</v>
      </c>
      <c r="BQ264">
        <v>4</v>
      </c>
      <c r="BR264" t="s">
        <v>87</v>
      </c>
      <c r="BS264" s="3">
        <v>1</v>
      </c>
      <c r="BT264" s="3" t="s">
        <v>418</v>
      </c>
      <c r="BU264" s="3">
        <v>2</v>
      </c>
      <c r="BV264" s="3" t="str">
        <f t="shared" si="67"/>
        <v>E4</v>
      </c>
      <c r="BW264" s="3">
        <f t="shared" si="68"/>
        <v>2.2293571736516085</v>
      </c>
      <c r="BX264" s="21" t="s">
        <v>417</v>
      </c>
      <c r="BY264" s="3" t="str">
        <f t="shared" si="48"/>
        <v>Och-C_DilutionPlate</v>
      </c>
      <c r="BZ264" s="3" t="str">
        <f t="shared" si="49"/>
        <v>E4</v>
      </c>
      <c r="CA264" s="3" t="str">
        <f t="shared" si="50"/>
        <v>Och-C</v>
      </c>
      <c r="CC264" s="3">
        <v>1.5</v>
      </c>
      <c r="CD264" t="s">
        <v>544</v>
      </c>
      <c r="CE264" s="21" t="str">
        <f t="shared" si="70"/>
        <v>OcC0804410D</v>
      </c>
      <c r="CF264" s="21" t="str">
        <f t="shared" si="51"/>
        <v>Och-CTum_044-Ex1-10D-lcwgs-1-1</v>
      </c>
      <c r="CG264" s="3">
        <f t="shared" si="61"/>
        <v>0.6033211342417244</v>
      </c>
      <c r="CH264">
        <v>38998</v>
      </c>
      <c r="CI264">
        <v>32121</v>
      </c>
      <c r="CJ264" t="s">
        <v>79</v>
      </c>
      <c r="CK264" s="3">
        <v>6.124571530903955</v>
      </c>
      <c r="CL264" t="s">
        <v>1202</v>
      </c>
      <c r="CM264" s="33" t="s">
        <v>1853</v>
      </c>
      <c r="CN264" s="3" t="str">
        <f t="shared" si="69"/>
        <v>Och-CTum_044-Ex1-10D-lcwgs-1-2</v>
      </c>
      <c r="CR264"/>
    </row>
    <row r="265" spans="1:96" x14ac:dyDescent="0.55000000000000004">
      <c r="A265" t="s">
        <v>181</v>
      </c>
      <c r="B265" t="s">
        <v>182</v>
      </c>
      <c r="C265" s="3">
        <v>1</v>
      </c>
      <c r="E265" t="s">
        <v>72</v>
      </c>
      <c r="F265" s="5">
        <v>9</v>
      </c>
      <c r="G265" s="5" t="s">
        <v>84</v>
      </c>
      <c r="H265" s="3">
        <v>5.7501489169675093</v>
      </c>
      <c r="I265" s="3" t="s">
        <v>74</v>
      </c>
      <c r="J265" s="3">
        <v>0.1</v>
      </c>
      <c r="K265" s="3">
        <v>7.25</v>
      </c>
      <c r="L265" s="3">
        <v>0.33</v>
      </c>
      <c r="O265" s="3">
        <v>100</v>
      </c>
      <c r="P265" s="3">
        <v>17.390853949003045</v>
      </c>
      <c r="R265" s="3">
        <v>10</v>
      </c>
      <c r="S265" s="4">
        <v>44949</v>
      </c>
      <c r="T265" s="4"/>
      <c r="U265" s="3" t="s">
        <v>75</v>
      </c>
      <c r="V265" s="10" t="s">
        <v>95</v>
      </c>
      <c r="W265" s="10">
        <v>10</v>
      </c>
      <c r="X265" s="10" t="s">
        <v>96</v>
      </c>
      <c r="Y265" s="10">
        <v>10</v>
      </c>
      <c r="Z265">
        <v>10</v>
      </c>
      <c r="AA265" t="s">
        <v>87</v>
      </c>
      <c r="AB265" t="s">
        <v>77</v>
      </c>
      <c r="AC265" s="3" t="s">
        <v>78</v>
      </c>
      <c r="AD265" s="3">
        <v>4</v>
      </c>
      <c r="AE265">
        <v>10</v>
      </c>
      <c r="AF265" t="s">
        <v>87</v>
      </c>
      <c r="AG265" t="s">
        <v>662</v>
      </c>
      <c r="AH265" s="17" t="s">
        <v>663</v>
      </c>
      <c r="AI265" t="s">
        <v>678</v>
      </c>
      <c r="AJ265" s="18" t="s">
        <v>679</v>
      </c>
      <c r="AO265" s="3">
        <v>3.3262576297338384</v>
      </c>
      <c r="AP265" s="3">
        <v>37</v>
      </c>
      <c r="AQ265" s="3">
        <f t="shared" si="71"/>
        <v>123.07153230015203</v>
      </c>
      <c r="BE265" s="3" t="s">
        <v>79</v>
      </c>
      <c r="BF265" s="3" t="s">
        <v>80</v>
      </c>
      <c r="BG265" s="3" t="s">
        <v>416</v>
      </c>
      <c r="BH265" s="3">
        <f t="shared" si="62"/>
        <v>2</v>
      </c>
      <c r="BI265" s="3" t="str">
        <f t="shared" si="63"/>
        <v>E10</v>
      </c>
      <c r="BJ265" s="3">
        <v>17</v>
      </c>
      <c r="BK265" s="3" t="str">
        <f t="shared" si="64"/>
        <v>H2</v>
      </c>
      <c r="BL265" s="3">
        <v>1.5</v>
      </c>
      <c r="BM265" s="3">
        <v>1.5</v>
      </c>
      <c r="BN265" s="3">
        <f t="shared" si="65"/>
        <v>3.3262576297338384</v>
      </c>
      <c r="BO265" s="3">
        <f t="shared" si="66"/>
        <v>1.8262576297338384</v>
      </c>
      <c r="BP265" s="3" t="s">
        <v>419</v>
      </c>
      <c r="BQ265">
        <v>2</v>
      </c>
      <c r="BR265" t="s">
        <v>92</v>
      </c>
      <c r="BS265" s="3">
        <v>1</v>
      </c>
      <c r="BT265" s="3" t="s">
        <v>418</v>
      </c>
      <c r="BU265" s="3">
        <v>2</v>
      </c>
      <c r="BV265" s="3" t="str">
        <f t="shared" si="67"/>
        <v>H2</v>
      </c>
      <c r="BW265" s="3">
        <f t="shared" si="68"/>
        <v>1.8262576297338384</v>
      </c>
      <c r="BX265" s="21" t="s">
        <v>417</v>
      </c>
      <c r="BY265" s="3" t="str">
        <f t="shared" si="48"/>
        <v>Och-C_DilutionPlate</v>
      </c>
      <c r="BZ265" s="3" t="str">
        <f t="shared" si="49"/>
        <v>H2</v>
      </c>
      <c r="CA265" s="3" t="str">
        <f t="shared" si="50"/>
        <v>Och-C</v>
      </c>
      <c r="CC265" s="3">
        <v>1.5</v>
      </c>
      <c r="CD265" t="s">
        <v>545</v>
      </c>
      <c r="CE265" s="21" t="str">
        <f t="shared" si="70"/>
        <v>OcC0804510E</v>
      </c>
      <c r="CF265" s="21" t="str">
        <f t="shared" si="51"/>
        <v>Och-CTum_045-Ex1-10E-lcwgs-1-1</v>
      </c>
      <c r="CG265" s="3">
        <f t="shared" si="61"/>
        <v>0.67643587793289517</v>
      </c>
      <c r="CH265">
        <v>796406</v>
      </c>
      <c r="CI265">
        <v>660102</v>
      </c>
      <c r="CJ265" t="s">
        <v>79</v>
      </c>
      <c r="CK265" s="3">
        <v>0.32908513226251163</v>
      </c>
      <c r="CL265" t="s">
        <v>1202</v>
      </c>
      <c r="CM265" s="33" t="s">
        <v>1854</v>
      </c>
      <c r="CN265" s="3" t="str">
        <f t="shared" si="69"/>
        <v>Och-CTum_045-Ex1-10E-lcwgs-1-2</v>
      </c>
    </row>
    <row r="266" spans="1:96" x14ac:dyDescent="0.55000000000000004">
      <c r="A266" t="s">
        <v>187</v>
      </c>
      <c r="B266" t="s">
        <v>188</v>
      </c>
      <c r="C266" s="3">
        <v>1</v>
      </c>
      <c r="E266" t="s">
        <v>72</v>
      </c>
      <c r="F266" s="5">
        <v>11</v>
      </c>
      <c r="G266" s="5" t="s">
        <v>84</v>
      </c>
      <c r="H266" s="3">
        <v>12.299747292418772</v>
      </c>
      <c r="I266" s="3" t="s">
        <v>74</v>
      </c>
      <c r="J266" s="3">
        <v>0.1</v>
      </c>
      <c r="K266" s="3">
        <v>7.25</v>
      </c>
      <c r="L266" s="3">
        <v>0.33</v>
      </c>
      <c r="O266" s="3">
        <v>100</v>
      </c>
      <c r="P266" s="3">
        <v>8.1302483394628169</v>
      </c>
      <c r="R266" s="3">
        <v>10</v>
      </c>
      <c r="S266" s="4">
        <v>44949</v>
      </c>
      <c r="T266" s="4"/>
      <c r="U266" s="3" t="s">
        <v>75</v>
      </c>
      <c r="V266" s="10" t="s">
        <v>103</v>
      </c>
      <c r="W266" s="10">
        <v>10</v>
      </c>
      <c r="X266" s="10" t="s">
        <v>104</v>
      </c>
      <c r="Y266" s="10">
        <v>10</v>
      </c>
      <c r="Z266">
        <v>10</v>
      </c>
      <c r="AA266" t="s">
        <v>91</v>
      </c>
      <c r="AB266" t="s">
        <v>77</v>
      </c>
      <c r="AC266" s="3" t="s">
        <v>78</v>
      </c>
      <c r="AD266" s="3">
        <v>4</v>
      </c>
      <c r="AE266">
        <v>10</v>
      </c>
      <c r="AF266" t="s">
        <v>91</v>
      </c>
      <c r="AG266" t="s">
        <v>666</v>
      </c>
      <c r="AH266" s="17" t="s">
        <v>667</v>
      </c>
      <c r="AI266" t="s">
        <v>678</v>
      </c>
      <c r="AJ266" s="18" t="s">
        <v>679</v>
      </c>
      <c r="AO266" s="3">
        <v>3.4238785142156978</v>
      </c>
      <c r="AP266" s="3">
        <v>37</v>
      </c>
      <c r="AQ266" s="3">
        <f t="shared" si="71"/>
        <v>126.68350502598082</v>
      </c>
      <c r="BE266" s="3" t="s">
        <v>79</v>
      </c>
      <c r="BF266" s="3" t="s">
        <v>80</v>
      </c>
      <c r="BG266" s="3" t="s">
        <v>416</v>
      </c>
      <c r="BH266" s="3">
        <f t="shared" si="62"/>
        <v>2</v>
      </c>
      <c r="BI266" s="3" t="str">
        <f t="shared" si="63"/>
        <v>G10</v>
      </c>
      <c r="BJ266" s="3">
        <v>20</v>
      </c>
      <c r="BK266" s="3" t="str">
        <f t="shared" si="64"/>
        <v>C3</v>
      </c>
      <c r="BL266" s="3">
        <v>1.5</v>
      </c>
      <c r="BM266" s="3">
        <v>1.5</v>
      </c>
      <c r="BN266" s="3">
        <f t="shared" si="65"/>
        <v>3.4238785142156978</v>
      </c>
      <c r="BO266" s="3">
        <f t="shared" si="66"/>
        <v>1.9238785142156978</v>
      </c>
      <c r="BP266" s="3" t="s">
        <v>419</v>
      </c>
      <c r="BQ266">
        <v>3</v>
      </c>
      <c r="BR266" t="s">
        <v>83</v>
      </c>
      <c r="BS266" s="3">
        <v>1</v>
      </c>
      <c r="BT266" s="3" t="s">
        <v>418</v>
      </c>
      <c r="BU266" s="3">
        <v>2</v>
      </c>
      <c r="BV266" s="3" t="str">
        <f t="shared" si="67"/>
        <v>C3</v>
      </c>
      <c r="BW266" s="3">
        <f t="shared" si="68"/>
        <v>1.9238785142156978</v>
      </c>
      <c r="BX266" s="21" t="s">
        <v>417</v>
      </c>
      <c r="BY266" s="3" t="str">
        <f t="shared" ref="BY266:BY329" si="72">IF(ISNUMBER(BM266),BP266,AB266)</f>
        <v>Och-C_DilutionPlate</v>
      </c>
      <c r="BZ266" s="3" t="str">
        <f t="shared" ref="BZ266:BZ329" si="73">IF(ISNUMBER(BM266),BR266&amp;BQ266,AA266&amp;AE266)</f>
        <v>C3</v>
      </c>
      <c r="CA266" s="3" t="str">
        <f t="shared" ref="CA266:CA329" si="74">BF266</f>
        <v>Och-C</v>
      </c>
      <c r="CC266" s="3">
        <v>1.5</v>
      </c>
      <c r="CD266" t="s">
        <v>546</v>
      </c>
      <c r="CE266" s="21" t="str">
        <f t="shared" si="70"/>
        <v>OcC0804710G</v>
      </c>
      <c r="CF266" s="21" t="str">
        <f t="shared" ref="CF266:CF329" si="75">B266&amp;"-"&amp;Z266&amp;AA266&amp;"-lcwgs-"&amp;C266&amp;"-1"</f>
        <v>Och-CTum_047-Ex1-10G-lcwgs-1-1</v>
      </c>
      <c r="CG266" s="3">
        <f t="shared" si="61"/>
        <v>0.65714948432257791</v>
      </c>
      <c r="CH266">
        <v>98303</v>
      </c>
      <c r="CI266">
        <v>81477</v>
      </c>
      <c r="CJ266" t="s">
        <v>79</v>
      </c>
      <c r="CK266" s="3">
        <v>2.6268086461116216</v>
      </c>
      <c r="CL266" t="s">
        <v>1202</v>
      </c>
      <c r="CM266" s="33" t="s">
        <v>1855</v>
      </c>
      <c r="CN266" s="3" t="str">
        <f t="shared" si="69"/>
        <v>Och-CTum_047-Ex1-10G-lcwgs-1-2</v>
      </c>
    </row>
    <row r="267" spans="1:96" x14ac:dyDescent="0.55000000000000004">
      <c r="A267" t="s">
        <v>189</v>
      </c>
      <c r="B267" t="s">
        <v>190</v>
      </c>
      <c r="C267" s="3">
        <v>1</v>
      </c>
      <c r="E267" t="s">
        <v>72</v>
      </c>
      <c r="F267" s="5">
        <v>12</v>
      </c>
      <c r="G267" s="5" t="s">
        <v>84</v>
      </c>
      <c r="H267" s="3">
        <v>9.8732355595667869</v>
      </c>
      <c r="I267" s="3" t="s">
        <v>74</v>
      </c>
      <c r="J267" s="3">
        <v>0.1</v>
      </c>
      <c r="K267" s="3">
        <v>7.25</v>
      </c>
      <c r="L267" s="3">
        <v>0.33</v>
      </c>
      <c r="O267" s="3">
        <v>100</v>
      </c>
      <c r="P267" s="3">
        <v>10.128391994365396</v>
      </c>
      <c r="R267" s="3">
        <v>10</v>
      </c>
      <c r="S267" s="4">
        <v>44949</v>
      </c>
      <c r="T267" s="4"/>
      <c r="U267" s="3" t="s">
        <v>75</v>
      </c>
      <c r="V267" s="10" t="s">
        <v>107</v>
      </c>
      <c r="W267" s="10">
        <v>10</v>
      </c>
      <c r="X267" s="10" t="s">
        <v>108</v>
      </c>
      <c r="Y267" s="10">
        <v>10</v>
      </c>
      <c r="Z267">
        <v>10</v>
      </c>
      <c r="AA267" t="s">
        <v>92</v>
      </c>
      <c r="AB267" t="s">
        <v>77</v>
      </c>
      <c r="AC267" s="3" t="s">
        <v>78</v>
      </c>
      <c r="AD267" s="3">
        <v>4</v>
      </c>
      <c r="AE267">
        <v>10</v>
      </c>
      <c r="AF267" t="s">
        <v>92</v>
      </c>
      <c r="AG267" t="s">
        <v>668</v>
      </c>
      <c r="AH267" s="17" t="s">
        <v>669</v>
      </c>
      <c r="AI267" t="s">
        <v>678</v>
      </c>
      <c r="AJ267" s="18" t="s">
        <v>679</v>
      </c>
      <c r="AO267" s="3">
        <v>5.5200925778856842</v>
      </c>
      <c r="AP267" s="3">
        <v>37</v>
      </c>
      <c r="AQ267" s="3">
        <f t="shared" si="71"/>
        <v>204.24342538177032</v>
      </c>
      <c r="BE267" s="3" t="s">
        <v>79</v>
      </c>
      <c r="BF267" s="3" t="s">
        <v>80</v>
      </c>
      <c r="BG267" s="3" t="s">
        <v>416</v>
      </c>
      <c r="BH267" s="3">
        <f t="shared" si="62"/>
        <v>2</v>
      </c>
      <c r="BI267" s="3" t="str">
        <f t="shared" si="63"/>
        <v>H10</v>
      </c>
      <c r="BJ267" s="3">
        <v>75</v>
      </c>
      <c r="BK267" s="3" t="str">
        <f t="shared" si="64"/>
        <v>B10</v>
      </c>
      <c r="BL267" s="3">
        <v>1.5</v>
      </c>
      <c r="BM267" s="3">
        <v>1.5</v>
      </c>
      <c r="BN267" s="3">
        <f t="shared" si="65"/>
        <v>5.5200925778856842</v>
      </c>
      <c r="BO267" s="3">
        <f t="shared" si="66"/>
        <v>4.0200925778856842</v>
      </c>
      <c r="BP267" s="3" t="s">
        <v>419</v>
      </c>
      <c r="BQ267">
        <v>10</v>
      </c>
      <c r="BR267" t="s">
        <v>76</v>
      </c>
      <c r="BS267" s="3">
        <v>1</v>
      </c>
      <c r="BT267" s="3" t="s">
        <v>418</v>
      </c>
      <c r="BU267" s="3">
        <v>2</v>
      </c>
      <c r="BV267" s="3" t="str">
        <f t="shared" si="67"/>
        <v>B10</v>
      </c>
      <c r="BW267" s="3">
        <f t="shared" si="68"/>
        <v>4.0200925778856842</v>
      </c>
      <c r="BX267" s="21" t="s">
        <v>417</v>
      </c>
      <c r="BY267" s="3" t="str">
        <f t="shared" si="72"/>
        <v>Och-C_DilutionPlate</v>
      </c>
      <c r="BZ267" s="3" t="str">
        <f t="shared" si="73"/>
        <v>B10</v>
      </c>
      <c r="CA267" s="3" t="str">
        <f t="shared" si="74"/>
        <v>Och-C</v>
      </c>
      <c r="CC267" s="3">
        <v>1.5</v>
      </c>
      <c r="CD267" t="s">
        <v>547</v>
      </c>
      <c r="CE267" s="21" t="str">
        <f t="shared" si="70"/>
        <v>OcC0804810H</v>
      </c>
      <c r="CF267" s="21" t="str">
        <f t="shared" si="75"/>
        <v>Och-CTum_048-Ex1-10H-lcwgs-1-1</v>
      </c>
      <c r="CG267" s="3">
        <f t="shared" si="61"/>
        <v>0.4076018596162384</v>
      </c>
      <c r="CH267">
        <v>160947</v>
      </c>
      <c r="CI267">
        <v>131551</v>
      </c>
      <c r="CJ267" t="s">
        <v>79</v>
      </c>
      <c r="CK267" s="3">
        <v>1.0078971438000925</v>
      </c>
      <c r="CL267" t="s">
        <v>1202</v>
      </c>
      <c r="CM267" s="33" t="s">
        <v>1856</v>
      </c>
      <c r="CN267" s="3" t="str">
        <f t="shared" si="69"/>
        <v>Och-CTum_048-Ex1-10H-lcwgs-1-2</v>
      </c>
    </row>
    <row r="268" spans="1:96" x14ac:dyDescent="0.55000000000000004">
      <c r="A268" t="s">
        <v>191</v>
      </c>
      <c r="B268" t="s">
        <v>192</v>
      </c>
      <c r="C268" s="3">
        <v>1</v>
      </c>
      <c r="E268" t="s">
        <v>72</v>
      </c>
      <c r="F268" s="5">
        <v>1</v>
      </c>
      <c r="G268" s="5" t="s">
        <v>87</v>
      </c>
      <c r="H268" s="3">
        <v>5.8709250902527081</v>
      </c>
      <c r="I268" s="3" t="s">
        <v>74</v>
      </c>
      <c r="J268" s="3">
        <v>0.1</v>
      </c>
      <c r="K268" s="3">
        <v>7.25</v>
      </c>
      <c r="L268" s="3">
        <v>0.33</v>
      </c>
      <c r="O268" s="3">
        <v>100</v>
      </c>
      <c r="P268" s="3">
        <v>17.033090775766585</v>
      </c>
      <c r="R268" s="3">
        <v>10</v>
      </c>
      <c r="S268" s="4">
        <v>44949</v>
      </c>
      <c r="T268" s="4"/>
      <c r="U268" s="3" t="s">
        <v>75</v>
      </c>
      <c r="V268" s="10" t="s">
        <v>73</v>
      </c>
      <c r="W268" s="10">
        <v>11</v>
      </c>
      <c r="X268" s="10" t="s">
        <v>76</v>
      </c>
      <c r="Y268" s="10">
        <v>11</v>
      </c>
      <c r="Z268">
        <v>11</v>
      </c>
      <c r="AA268" t="s">
        <v>73</v>
      </c>
      <c r="AB268" t="s">
        <v>77</v>
      </c>
      <c r="AC268" s="3" t="s">
        <v>78</v>
      </c>
      <c r="AD268" s="3">
        <v>4</v>
      </c>
      <c r="AE268">
        <v>11</v>
      </c>
      <c r="AF268" t="s">
        <v>73</v>
      </c>
      <c r="AG268" t="s">
        <v>652</v>
      </c>
      <c r="AH268" s="17" t="s">
        <v>653</v>
      </c>
      <c r="AI268" t="s">
        <v>680</v>
      </c>
      <c r="AJ268" s="18" t="s">
        <v>681</v>
      </c>
      <c r="AO268" s="3">
        <v>6.9453041682739221</v>
      </c>
      <c r="AP268" s="3">
        <v>37</v>
      </c>
      <c r="AQ268" s="3">
        <f t="shared" si="71"/>
        <v>256.9762542261351</v>
      </c>
      <c r="BE268" s="3" t="s">
        <v>79</v>
      </c>
      <c r="BF268" s="3" t="s">
        <v>80</v>
      </c>
      <c r="BG268" s="3" t="s">
        <v>416</v>
      </c>
      <c r="BH268" s="3">
        <f t="shared" si="62"/>
        <v>2</v>
      </c>
      <c r="BI268" s="3" t="str">
        <f t="shared" si="63"/>
        <v>A11</v>
      </c>
      <c r="BJ268" s="3">
        <v>88</v>
      </c>
      <c r="BK268" s="3" t="str">
        <f t="shared" si="64"/>
        <v>G11</v>
      </c>
      <c r="BL268" s="3">
        <v>1.5</v>
      </c>
      <c r="BM268" s="3">
        <v>1.5</v>
      </c>
      <c r="BN268" s="3">
        <f t="shared" si="65"/>
        <v>6.9453041682739221</v>
      </c>
      <c r="BO268" s="3">
        <f t="shared" si="66"/>
        <v>5.4453041682739221</v>
      </c>
      <c r="BP268" s="3" t="s">
        <v>419</v>
      </c>
      <c r="BQ268">
        <v>11</v>
      </c>
      <c r="BR268" t="s">
        <v>91</v>
      </c>
      <c r="BS268" s="3">
        <v>1</v>
      </c>
      <c r="BT268" s="3" t="s">
        <v>418</v>
      </c>
      <c r="BU268" s="3">
        <v>2</v>
      </c>
      <c r="BV268" s="3" t="str">
        <f t="shared" si="67"/>
        <v>G11</v>
      </c>
      <c r="BW268" s="3">
        <f t="shared" si="68"/>
        <v>5.4453041682739221</v>
      </c>
      <c r="BX268" s="21" t="s">
        <v>417</v>
      </c>
      <c r="BY268" s="3" t="str">
        <f t="shared" si="72"/>
        <v>Och-C_DilutionPlate</v>
      </c>
      <c r="BZ268" s="3" t="str">
        <f t="shared" si="73"/>
        <v>G11</v>
      </c>
      <c r="CA268" s="3" t="str">
        <f t="shared" si="74"/>
        <v>Och-C</v>
      </c>
      <c r="CC268" s="3">
        <v>1.5</v>
      </c>
      <c r="CD268" t="s">
        <v>548</v>
      </c>
      <c r="CE268" s="21" t="str">
        <f t="shared" si="70"/>
        <v>OcC0804911A</v>
      </c>
      <c r="CF268" s="21" t="str">
        <f t="shared" si="75"/>
        <v>Och-CTum_049-Ex1-11A-lcwgs-1-1</v>
      </c>
      <c r="CG268" s="3">
        <f t="shared" si="61"/>
        <v>0.3239598936901823</v>
      </c>
      <c r="CH268">
        <v>16350</v>
      </c>
      <c r="CI268">
        <v>12969</v>
      </c>
      <c r="CJ268" t="s">
        <v>79</v>
      </c>
      <c r="CK268" s="3">
        <v>8.1489454744413461</v>
      </c>
      <c r="CL268" t="s">
        <v>1202</v>
      </c>
      <c r="CM268" s="33" t="s">
        <v>1857</v>
      </c>
      <c r="CN268" s="3" t="str">
        <f t="shared" si="69"/>
        <v>Och-CTum_049-Ex1-11A-lcwgs-1-2</v>
      </c>
    </row>
    <row r="269" spans="1:96" x14ac:dyDescent="0.55000000000000004">
      <c r="A269" t="s">
        <v>193</v>
      </c>
      <c r="B269" t="s">
        <v>194</v>
      </c>
      <c r="C269" s="3">
        <v>1</v>
      </c>
      <c r="E269" t="s">
        <v>72</v>
      </c>
      <c r="F269" s="5">
        <v>2</v>
      </c>
      <c r="G269" s="5" t="s">
        <v>87</v>
      </c>
      <c r="H269" s="3">
        <v>7.2670622743682305</v>
      </c>
      <c r="I269" s="3" t="s">
        <v>74</v>
      </c>
      <c r="J269" s="3">
        <v>0.1</v>
      </c>
      <c r="K269" s="3">
        <v>7.25</v>
      </c>
      <c r="L269" s="3">
        <v>0.33</v>
      </c>
      <c r="O269" s="3">
        <v>100</v>
      </c>
      <c r="P269" s="3">
        <v>13.760718736746149</v>
      </c>
      <c r="R269" s="3">
        <v>10</v>
      </c>
      <c r="S269" s="4">
        <v>44949</v>
      </c>
      <c r="T269" s="4"/>
      <c r="U269" s="3" t="s">
        <v>75</v>
      </c>
      <c r="V269" s="10" t="s">
        <v>83</v>
      </c>
      <c r="W269" s="10">
        <v>11</v>
      </c>
      <c r="X269" s="10" t="s">
        <v>84</v>
      </c>
      <c r="Y269" s="10">
        <v>11</v>
      </c>
      <c r="Z269">
        <v>11</v>
      </c>
      <c r="AA269" t="s">
        <v>76</v>
      </c>
      <c r="AB269" t="s">
        <v>77</v>
      </c>
      <c r="AC269" s="3" t="s">
        <v>78</v>
      </c>
      <c r="AD269" s="3">
        <v>4</v>
      </c>
      <c r="AE269">
        <v>11</v>
      </c>
      <c r="AF269" t="s">
        <v>76</v>
      </c>
      <c r="AG269" t="s">
        <v>656</v>
      </c>
      <c r="AH269" s="17" t="s">
        <v>657</v>
      </c>
      <c r="AI269" t="s">
        <v>680</v>
      </c>
      <c r="AJ269" s="18" t="s">
        <v>681</v>
      </c>
      <c r="AO269" s="3">
        <v>0.99261419073767332</v>
      </c>
      <c r="AP269" s="3">
        <v>37</v>
      </c>
      <c r="AQ269" s="3">
        <f t="shared" si="71"/>
        <v>36.726725057293912</v>
      </c>
      <c r="BE269" s="3" t="s">
        <v>79</v>
      </c>
      <c r="BF269" s="3" t="s">
        <v>80</v>
      </c>
      <c r="BG269" s="3" t="s">
        <v>186</v>
      </c>
      <c r="BH269" s="3" t="s">
        <v>186</v>
      </c>
      <c r="BI269" s="3" t="s">
        <v>186</v>
      </c>
      <c r="BJ269" s="3" t="s">
        <v>186</v>
      </c>
      <c r="BK269" s="3" t="s">
        <v>186</v>
      </c>
      <c r="BL269" s="3" t="s">
        <v>186</v>
      </c>
      <c r="BM269" s="3" t="s">
        <v>186</v>
      </c>
      <c r="BN269" s="3" t="s">
        <v>186</v>
      </c>
      <c r="BO269" s="3" t="s">
        <v>186</v>
      </c>
      <c r="BP269" s="3" t="s">
        <v>186</v>
      </c>
      <c r="BQ269" s="3" t="s">
        <v>186</v>
      </c>
      <c r="BR269" s="3" t="s">
        <v>186</v>
      </c>
      <c r="BS269" s="3" t="s">
        <v>186</v>
      </c>
      <c r="BT269" s="3" t="s">
        <v>186</v>
      </c>
      <c r="BU269" s="3" t="s">
        <v>186</v>
      </c>
      <c r="BV269" s="3" t="s">
        <v>186</v>
      </c>
      <c r="BW269" s="3" t="s">
        <v>186</v>
      </c>
      <c r="BX269" s="21" t="s">
        <v>417</v>
      </c>
      <c r="BY269" s="3" t="str">
        <f t="shared" si="72"/>
        <v>PIRE-C_LibrariesforCapture_Jan2023-2</v>
      </c>
      <c r="BZ269" s="3" t="str">
        <f t="shared" si="73"/>
        <v>B11</v>
      </c>
      <c r="CA269" s="3" t="str">
        <f t="shared" si="74"/>
        <v>Och-C</v>
      </c>
      <c r="CC269" s="3">
        <v>1.5</v>
      </c>
      <c r="CD269" t="s">
        <v>549</v>
      </c>
      <c r="CE269" s="21" t="str">
        <f t="shared" si="70"/>
        <v>OcC0805011B</v>
      </c>
      <c r="CF269" s="21" t="str">
        <f t="shared" si="75"/>
        <v>Och-CTum_050-Ex1-11B-lcwgs-1-1</v>
      </c>
      <c r="CG269" s="3">
        <f t="shared" si="61"/>
        <v>1.5</v>
      </c>
      <c r="CH269">
        <v>6844</v>
      </c>
      <c r="CI269">
        <v>5807</v>
      </c>
      <c r="CJ269" t="s">
        <v>185</v>
      </c>
      <c r="CK269" s="3">
        <v>0</v>
      </c>
      <c r="CL269"/>
      <c r="CM269" s="33"/>
    </row>
    <row r="270" spans="1:96" x14ac:dyDescent="0.55000000000000004">
      <c r="A270" t="s">
        <v>195</v>
      </c>
      <c r="B270" t="s">
        <v>196</v>
      </c>
      <c r="C270" s="3">
        <v>1</v>
      </c>
      <c r="E270" t="s">
        <v>72</v>
      </c>
      <c r="F270" s="5">
        <v>3</v>
      </c>
      <c r="G270" s="5" t="s">
        <v>87</v>
      </c>
      <c r="H270" s="3">
        <v>7.8459115523465703</v>
      </c>
      <c r="I270" s="3" t="s">
        <v>74</v>
      </c>
      <c r="J270" s="3">
        <v>0.1</v>
      </c>
      <c r="K270" s="3">
        <v>7.25</v>
      </c>
      <c r="L270" s="3">
        <v>0.33</v>
      </c>
      <c r="O270" s="3">
        <v>100</v>
      </c>
      <c r="P270" s="3">
        <v>12.745491627431335</v>
      </c>
      <c r="R270" s="3">
        <v>10</v>
      </c>
      <c r="S270" s="4">
        <v>44949</v>
      </c>
      <c r="T270" s="4"/>
      <c r="U270" s="3" t="s">
        <v>75</v>
      </c>
      <c r="V270" s="10" t="s">
        <v>87</v>
      </c>
      <c r="W270" s="10">
        <v>11</v>
      </c>
      <c r="X270" s="10" t="s">
        <v>88</v>
      </c>
      <c r="Y270" s="10">
        <v>11</v>
      </c>
      <c r="Z270">
        <v>11</v>
      </c>
      <c r="AA270" t="s">
        <v>83</v>
      </c>
      <c r="AB270" t="s">
        <v>77</v>
      </c>
      <c r="AC270" s="3" t="s">
        <v>78</v>
      </c>
      <c r="AD270" s="3">
        <v>4</v>
      </c>
      <c r="AE270">
        <v>11</v>
      </c>
      <c r="AF270" t="s">
        <v>83</v>
      </c>
      <c r="AG270" t="s">
        <v>658</v>
      </c>
      <c r="AH270" s="17" t="s">
        <v>659</v>
      </c>
      <c r="AI270" t="s">
        <v>680</v>
      </c>
      <c r="AJ270" s="18" t="s">
        <v>681</v>
      </c>
      <c r="AO270" s="3">
        <v>2.0545653604411065</v>
      </c>
      <c r="AP270" s="3">
        <v>37</v>
      </c>
      <c r="AQ270" s="3">
        <f t="shared" si="71"/>
        <v>76.018918336320937</v>
      </c>
      <c r="BE270" s="3" t="s">
        <v>79</v>
      </c>
      <c r="BF270" s="3" t="s">
        <v>80</v>
      </c>
      <c r="BG270" s="3" t="s">
        <v>416</v>
      </c>
      <c r="BH270" s="3">
        <f>IF(AB270="PIRE-C_LibrariesforCapture_Jan2023-2",2,3)</f>
        <v>2</v>
      </c>
      <c r="BI270" s="3" t="str">
        <f t="shared" ref="BI270:BI284" si="76">AA270&amp;Z270</f>
        <v>C11</v>
      </c>
      <c r="BJ270" s="3">
        <v>1</v>
      </c>
      <c r="BK270" s="3" t="str">
        <f t="shared" ref="BK270:BK284" si="77">BR270&amp;BQ270</f>
        <v>E6</v>
      </c>
      <c r="BL270" s="3">
        <v>1.5</v>
      </c>
      <c r="BM270" s="3">
        <v>1.5</v>
      </c>
      <c r="BN270" s="3">
        <f t="shared" ref="BN270:BN284" si="78">AO270*BL270/BM270</f>
        <v>2.0545653604411065</v>
      </c>
      <c r="BO270" s="3">
        <f t="shared" ref="BO270:BO284" si="79">BN270-BL270</f>
        <v>0.55456536044110649</v>
      </c>
      <c r="BP270" s="3" t="s">
        <v>420</v>
      </c>
      <c r="BQ270">
        <v>6</v>
      </c>
      <c r="BR270" t="s">
        <v>87</v>
      </c>
      <c r="BS270" s="3">
        <v>1</v>
      </c>
      <c r="BT270" s="3" t="s">
        <v>418</v>
      </c>
      <c r="BU270" s="3">
        <v>1</v>
      </c>
      <c r="BV270" s="3" t="str">
        <f>BR270&amp;BQ270</f>
        <v>E6</v>
      </c>
      <c r="BW270" s="3">
        <f>BO270</f>
        <v>0.55456536044110649</v>
      </c>
      <c r="BX270" s="21" t="s">
        <v>417</v>
      </c>
      <c r="BY270" s="3" t="str">
        <f t="shared" si="72"/>
        <v>Och-Mixed_Dilution Plate</v>
      </c>
      <c r="BZ270" s="3" t="str">
        <f t="shared" si="73"/>
        <v>E6</v>
      </c>
      <c r="CA270" s="3" t="str">
        <f t="shared" si="74"/>
        <v>Och-C</v>
      </c>
      <c r="CC270" s="3">
        <v>1.5</v>
      </c>
      <c r="CD270" t="s">
        <v>550</v>
      </c>
      <c r="CE270" s="21" t="str">
        <f t="shared" si="70"/>
        <v>OcC0805111C</v>
      </c>
      <c r="CF270" s="21" t="str">
        <f t="shared" si="75"/>
        <v>Och-CTum_051-Ex1-11C-lcwgs-1-1</v>
      </c>
      <c r="CG270" s="3">
        <f t="shared" si="61"/>
        <v>1.0951221330417711</v>
      </c>
      <c r="CH270">
        <v>10603</v>
      </c>
      <c r="CI270">
        <v>8595</v>
      </c>
      <c r="CJ270" t="s">
        <v>185</v>
      </c>
      <c r="CK270" s="3">
        <v>0</v>
      </c>
      <c r="CL270"/>
      <c r="CM270" s="33"/>
    </row>
    <row r="271" spans="1:96" x14ac:dyDescent="0.55000000000000004">
      <c r="A271" t="s">
        <v>1203</v>
      </c>
      <c r="B271" t="s">
        <v>1204</v>
      </c>
      <c r="C271" s="3">
        <v>1</v>
      </c>
      <c r="E271" t="s">
        <v>1251</v>
      </c>
      <c r="F271">
        <v>1</v>
      </c>
      <c r="G271" t="s">
        <v>91</v>
      </c>
      <c r="H271">
        <v>8.5984435447593341</v>
      </c>
      <c r="I271" s="3" t="s">
        <v>74</v>
      </c>
      <c r="J271" s="3">
        <v>0.2</v>
      </c>
      <c r="K271" s="3">
        <v>7.25</v>
      </c>
      <c r="L271" s="3">
        <v>0.33</v>
      </c>
      <c r="O271" s="3">
        <v>100</v>
      </c>
      <c r="P271" s="3">
        <v>11.630011813120412</v>
      </c>
      <c r="R271" s="3">
        <v>10</v>
      </c>
      <c r="Z271">
        <v>1</v>
      </c>
      <c r="AA271" t="s">
        <v>73</v>
      </c>
      <c r="AB271" t="s">
        <v>1252</v>
      </c>
      <c r="AC271" s="3" t="s">
        <v>78</v>
      </c>
      <c r="AD271" s="3">
        <v>9</v>
      </c>
      <c r="AE271">
        <v>1</v>
      </c>
      <c r="AF271" t="s">
        <v>73</v>
      </c>
      <c r="AG271" t="s">
        <v>696</v>
      </c>
      <c r="AH271" s="17" t="s">
        <v>697</v>
      </c>
      <c r="AI271" s="18" t="s">
        <v>1347</v>
      </c>
      <c r="AJ271" s="18" t="s">
        <v>1348</v>
      </c>
      <c r="AO271" s="3">
        <v>3.9193692575117955</v>
      </c>
      <c r="AP271" s="3">
        <v>37</v>
      </c>
      <c r="AQ271" s="3">
        <f t="shared" si="71"/>
        <v>145.01666252793643</v>
      </c>
      <c r="BE271" s="3" t="s">
        <v>79</v>
      </c>
      <c r="BF271" s="3" t="s">
        <v>1319</v>
      </c>
      <c r="BG271" s="3" t="s">
        <v>416</v>
      </c>
      <c r="BH271" s="3" t="str">
        <f t="shared" ref="BH271:BH284" si="80">AB271</f>
        <v>Och-ACan_LCWGS-libraries</v>
      </c>
      <c r="BI271" s="3" t="str">
        <f t="shared" si="76"/>
        <v>A1</v>
      </c>
      <c r="BJ271" s="3" t="str">
        <f t="shared" ref="BJ271:BJ284" si="81">BP271</f>
        <v>Och-TL2-DilutionPlate</v>
      </c>
      <c r="BK271" s="3" t="str">
        <f t="shared" si="77"/>
        <v>A1</v>
      </c>
      <c r="BL271" s="3">
        <v>1.5</v>
      </c>
      <c r="BM271" s="3">
        <v>1</v>
      </c>
      <c r="BN271" s="3">
        <f t="shared" si="78"/>
        <v>5.8790538862676929</v>
      </c>
      <c r="BO271" s="3">
        <f t="shared" si="79"/>
        <v>4.3790538862676929</v>
      </c>
      <c r="BP271" s="3" t="s">
        <v>1321</v>
      </c>
      <c r="BQ271">
        <v>1</v>
      </c>
      <c r="BR271" t="s">
        <v>73</v>
      </c>
      <c r="BX271" s="21" t="s">
        <v>1322</v>
      </c>
      <c r="BY271" s="3" t="str">
        <f t="shared" si="72"/>
        <v>Och-TL2-DilutionPlate</v>
      </c>
      <c r="BZ271" s="3" t="str">
        <f t="shared" si="73"/>
        <v>A1</v>
      </c>
      <c r="CA271" s="3" t="str">
        <f t="shared" si="74"/>
        <v>Och-A-2</v>
      </c>
      <c r="CC271" s="3">
        <v>1.5</v>
      </c>
      <c r="CD271" t="s">
        <v>1323</v>
      </c>
      <c r="CE271" s="21" t="str">
        <f t="shared" si="70"/>
        <v>OcA0500101A</v>
      </c>
      <c r="CF271" s="21" t="str">
        <f t="shared" si="75"/>
        <v>Och-ACan_001-Ex1-1A-lcwgs-1-1</v>
      </c>
      <c r="CG271" s="3">
        <f t="shared" ref="CG271:CG302" si="82">IF(ISNUMBER(BM271),CC271*BL271/BN271,CC271)</f>
        <v>0.38271464142479711</v>
      </c>
      <c r="CH271">
        <v>21221730</v>
      </c>
      <c r="CI271">
        <v>15903669</v>
      </c>
      <c r="CJ271" s="3" t="s">
        <v>79</v>
      </c>
      <c r="CK271" s="3">
        <v>12.897244638723848</v>
      </c>
      <c r="CL271" s="3" t="s">
        <v>1612</v>
      </c>
      <c r="CM271" s="33" t="s">
        <v>1690</v>
      </c>
      <c r="CN271" s="3" t="str">
        <f t="shared" ref="CN271:CN295" si="83">B271&amp;"-"&amp;Z271&amp;AA271&amp;"-lcwgs-"&amp;C271&amp;"-2"</f>
        <v>Och-ACan_001-Ex1-1A-lcwgs-1-2</v>
      </c>
      <c r="CR271"/>
    </row>
    <row r="272" spans="1:96" x14ac:dyDescent="0.55000000000000004">
      <c r="A272" t="s">
        <v>1205</v>
      </c>
      <c r="B272" t="s">
        <v>1206</v>
      </c>
      <c r="C272" s="3">
        <v>1</v>
      </c>
      <c r="E272" t="s">
        <v>1251</v>
      </c>
      <c r="F272">
        <v>2</v>
      </c>
      <c r="G272" t="s">
        <v>91</v>
      </c>
      <c r="H272">
        <v>17.42672064777328</v>
      </c>
      <c r="I272" s="3" t="s">
        <v>74</v>
      </c>
      <c r="J272" s="3">
        <v>0.2</v>
      </c>
      <c r="K272" s="3">
        <v>7.25</v>
      </c>
      <c r="L272" s="3">
        <v>0.33</v>
      </c>
      <c r="O272" s="3">
        <v>100</v>
      </c>
      <c r="P272" s="3">
        <v>5.7383142830591947</v>
      </c>
      <c r="R272" s="3">
        <v>10</v>
      </c>
      <c r="Z272">
        <v>2</v>
      </c>
      <c r="AA272" t="s">
        <v>73</v>
      </c>
      <c r="AB272" t="s">
        <v>1252</v>
      </c>
      <c r="AC272" s="3" t="s">
        <v>78</v>
      </c>
      <c r="AD272" s="3">
        <v>9</v>
      </c>
      <c r="AE272">
        <v>2</v>
      </c>
      <c r="AF272" t="s">
        <v>73</v>
      </c>
      <c r="AG272" t="s">
        <v>696</v>
      </c>
      <c r="AH272" s="17" t="s">
        <v>697</v>
      </c>
      <c r="AI272" s="18" t="s">
        <v>1349</v>
      </c>
      <c r="AJ272" s="18" t="s">
        <v>1350</v>
      </c>
      <c r="AO272" s="3">
        <v>5.7202921943547711</v>
      </c>
      <c r="AP272" s="3">
        <v>37</v>
      </c>
      <c r="AQ272" s="3">
        <f t="shared" si="71"/>
        <v>211.65081119112654</v>
      </c>
      <c r="BE272" s="3" t="s">
        <v>79</v>
      </c>
      <c r="BF272" s="3" t="s">
        <v>1319</v>
      </c>
      <c r="BG272" s="3" t="s">
        <v>416</v>
      </c>
      <c r="BH272" s="3" t="str">
        <f t="shared" si="80"/>
        <v>Och-ACan_LCWGS-libraries</v>
      </c>
      <c r="BI272" s="3" t="str">
        <f t="shared" si="76"/>
        <v>A2</v>
      </c>
      <c r="BJ272" s="3" t="str">
        <f t="shared" si="81"/>
        <v>Och-TL2-DilutionPlate</v>
      </c>
      <c r="BK272" s="3" t="str">
        <f t="shared" si="77"/>
        <v>A2</v>
      </c>
      <c r="BL272" s="3">
        <v>1.5</v>
      </c>
      <c r="BM272" s="3">
        <v>1</v>
      </c>
      <c r="BN272" s="3">
        <f t="shared" si="78"/>
        <v>8.5804382915321575</v>
      </c>
      <c r="BO272" s="3">
        <f t="shared" si="79"/>
        <v>7.0804382915321575</v>
      </c>
      <c r="BP272" s="3" t="s">
        <v>1321</v>
      </c>
      <c r="BQ272">
        <v>2</v>
      </c>
      <c r="BR272" t="s">
        <v>73</v>
      </c>
      <c r="BX272" s="21" t="s">
        <v>1322</v>
      </c>
      <c r="BY272" s="3" t="str">
        <f t="shared" si="72"/>
        <v>Och-TL2-DilutionPlate</v>
      </c>
      <c r="BZ272" s="3" t="str">
        <f t="shared" si="73"/>
        <v>A2</v>
      </c>
      <c r="CA272" s="3" t="str">
        <f t="shared" si="74"/>
        <v>Och-A-2</v>
      </c>
      <c r="CC272" s="3">
        <v>1.5</v>
      </c>
      <c r="CD272" t="s">
        <v>1324</v>
      </c>
      <c r="CE272" s="21" t="str">
        <f t="shared" si="70"/>
        <v>OcA0500202A</v>
      </c>
      <c r="CF272" s="21" t="str">
        <f t="shared" si="75"/>
        <v>Och-ACan_002-Ex1-2A-lcwgs-1-1</v>
      </c>
      <c r="CG272" s="3">
        <f t="shared" si="82"/>
        <v>0.26222436704899732</v>
      </c>
      <c r="CH272">
        <v>23454712</v>
      </c>
      <c r="CI272">
        <v>17049414</v>
      </c>
      <c r="CJ272" s="3" t="s">
        <v>79</v>
      </c>
      <c r="CK272" s="3">
        <v>8.0430901950702953</v>
      </c>
      <c r="CL272" s="3" t="s">
        <v>1612</v>
      </c>
      <c r="CM272" s="33" t="s">
        <v>1691</v>
      </c>
      <c r="CN272" s="3" t="str">
        <f t="shared" si="83"/>
        <v>Och-ACan_002-Ex1-2A-lcwgs-1-2</v>
      </c>
      <c r="CR272"/>
    </row>
    <row r="273" spans="1:96" x14ac:dyDescent="0.55000000000000004">
      <c r="A273" t="s">
        <v>1207</v>
      </c>
      <c r="B273" t="s">
        <v>1208</v>
      </c>
      <c r="C273" s="3">
        <v>1</v>
      </c>
      <c r="E273" t="s">
        <v>1251</v>
      </c>
      <c r="F273">
        <v>3</v>
      </c>
      <c r="G273" t="s">
        <v>91</v>
      </c>
      <c r="H273">
        <v>18.646842105263154</v>
      </c>
      <c r="I273" s="3" t="s">
        <v>74</v>
      </c>
      <c r="J273" s="3">
        <v>0.2</v>
      </c>
      <c r="K273" s="3">
        <v>7.25</v>
      </c>
      <c r="L273" s="3">
        <v>0.33</v>
      </c>
      <c r="O273" s="3">
        <v>100</v>
      </c>
      <c r="P273" s="3">
        <v>5.3628383527618633</v>
      </c>
      <c r="R273" s="3">
        <v>10</v>
      </c>
      <c r="Z273">
        <v>3</v>
      </c>
      <c r="AA273" t="s">
        <v>73</v>
      </c>
      <c r="AB273" t="s">
        <v>1252</v>
      </c>
      <c r="AC273" s="3" t="s">
        <v>78</v>
      </c>
      <c r="AD273" s="3">
        <v>9</v>
      </c>
      <c r="AE273">
        <v>3</v>
      </c>
      <c r="AF273" t="s">
        <v>73</v>
      </c>
      <c r="AG273" t="s">
        <v>696</v>
      </c>
      <c r="AH273" s="17" t="s">
        <v>697</v>
      </c>
      <c r="AI273" s="18" t="s">
        <v>1351</v>
      </c>
      <c r="AJ273" s="18" t="s">
        <v>1352</v>
      </c>
      <c r="AO273" s="3">
        <v>5.2537289959440443</v>
      </c>
      <c r="AP273" s="3">
        <v>37</v>
      </c>
      <c r="AQ273" s="3">
        <f t="shared" si="71"/>
        <v>194.38797284992964</v>
      </c>
      <c r="BE273" s="3" t="s">
        <v>79</v>
      </c>
      <c r="BF273" s="3" t="s">
        <v>1319</v>
      </c>
      <c r="BG273" s="3" t="s">
        <v>416</v>
      </c>
      <c r="BH273" s="3" t="str">
        <f t="shared" si="80"/>
        <v>Och-ACan_LCWGS-libraries</v>
      </c>
      <c r="BI273" s="3" t="str">
        <f t="shared" si="76"/>
        <v>A3</v>
      </c>
      <c r="BJ273" s="3" t="str">
        <f t="shared" si="81"/>
        <v>Och-TL2-DilutionPlate</v>
      </c>
      <c r="BK273" s="3" t="str">
        <f t="shared" si="77"/>
        <v>A3</v>
      </c>
      <c r="BL273" s="3">
        <v>1.5</v>
      </c>
      <c r="BM273" s="3">
        <v>1</v>
      </c>
      <c r="BN273" s="3">
        <f t="shared" si="78"/>
        <v>7.8805934939160664</v>
      </c>
      <c r="BO273" s="3">
        <f t="shared" si="79"/>
        <v>6.3805934939160664</v>
      </c>
      <c r="BP273" s="3" t="s">
        <v>1321</v>
      </c>
      <c r="BQ273">
        <v>3</v>
      </c>
      <c r="BR273" t="s">
        <v>73</v>
      </c>
      <c r="BX273" s="21" t="s">
        <v>1322</v>
      </c>
      <c r="BY273" s="3" t="str">
        <f t="shared" si="72"/>
        <v>Och-TL2-DilutionPlate</v>
      </c>
      <c r="BZ273" s="3" t="str">
        <f t="shared" si="73"/>
        <v>A3</v>
      </c>
      <c r="CA273" s="3" t="str">
        <f t="shared" si="74"/>
        <v>Och-A-2</v>
      </c>
      <c r="CC273" s="3">
        <v>1.5</v>
      </c>
      <c r="CD273" t="s">
        <v>1325</v>
      </c>
      <c r="CE273" s="21" t="str">
        <f t="shared" si="70"/>
        <v>OcA0500303A</v>
      </c>
      <c r="CF273" s="21" t="str">
        <f t="shared" si="75"/>
        <v>Och-ACan_003-Ex1-3A-lcwgs-1-1</v>
      </c>
      <c r="CG273" s="3">
        <f t="shared" si="82"/>
        <v>0.28551149120139657</v>
      </c>
      <c r="CH273">
        <v>26388437</v>
      </c>
      <c r="CI273">
        <v>19344798</v>
      </c>
      <c r="CJ273" s="3" t="s">
        <v>79</v>
      </c>
      <c r="CK273" s="3">
        <v>7.3340164675882091</v>
      </c>
      <c r="CL273" s="3" t="s">
        <v>1612</v>
      </c>
      <c r="CM273" s="33" t="s">
        <v>1692</v>
      </c>
      <c r="CN273" s="3" t="str">
        <f t="shared" si="83"/>
        <v>Och-ACan_003-Ex1-3A-lcwgs-1-2</v>
      </c>
      <c r="CR273"/>
    </row>
    <row r="274" spans="1:96" x14ac:dyDescent="0.55000000000000004">
      <c r="A274" t="s">
        <v>1209</v>
      </c>
      <c r="B274" t="s">
        <v>1210</v>
      </c>
      <c r="C274" s="3">
        <v>1</v>
      </c>
      <c r="E274" t="s">
        <v>1251</v>
      </c>
      <c r="F274">
        <v>4</v>
      </c>
      <c r="G274" t="s">
        <v>91</v>
      </c>
      <c r="H274">
        <v>17.52328385065227</v>
      </c>
      <c r="I274" s="3" t="s">
        <v>74</v>
      </c>
      <c r="J274" s="3">
        <v>0.2</v>
      </c>
      <c r="K274" s="3">
        <v>7.25</v>
      </c>
      <c r="L274" s="3">
        <v>0.33</v>
      </c>
      <c r="O274" s="3">
        <v>100</v>
      </c>
      <c r="P274" s="3">
        <v>5.706692926524596</v>
      </c>
      <c r="R274" s="3">
        <v>10</v>
      </c>
      <c r="Z274">
        <v>4</v>
      </c>
      <c r="AA274" t="s">
        <v>73</v>
      </c>
      <c r="AB274" t="s">
        <v>1252</v>
      </c>
      <c r="AC274" s="3" t="s">
        <v>78</v>
      </c>
      <c r="AD274" s="3">
        <v>9</v>
      </c>
      <c r="AE274">
        <v>4</v>
      </c>
      <c r="AF274" t="s">
        <v>73</v>
      </c>
      <c r="AG274" t="s">
        <v>696</v>
      </c>
      <c r="AH274" s="17" t="s">
        <v>697</v>
      </c>
      <c r="AI274" s="18" t="s">
        <v>1353</v>
      </c>
      <c r="AJ274" s="18" t="s">
        <v>1354</v>
      </c>
      <c r="AO274" s="3">
        <v>4.9021066136909202</v>
      </c>
      <c r="AP274" s="3">
        <v>37</v>
      </c>
      <c r="AQ274" s="3">
        <f t="shared" si="71"/>
        <v>181.37794470656405</v>
      </c>
      <c r="BE274" s="3" t="s">
        <v>79</v>
      </c>
      <c r="BF274" s="3" t="s">
        <v>1319</v>
      </c>
      <c r="BG274" s="3" t="s">
        <v>416</v>
      </c>
      <c r="BH274" s="3" t="str">
        <f t="shared" si="80"/>
        <v>Och-ACan_LCWGS-libraries</v>
      </c>
      <c r="BI274" s="3" t="str">
        <f t="shared" si="76"/>
        <v>A4</v>
      </c>
      <c r="BJ274" s="3" t="str">
        <f t="shared" si="81"/>
        <v>Och-TL2-DilutionPlate</v>
      </c>
      <c r="BK274" s="3" t="str">
        <f t="shared" si="77"/>
        <v>A4</v>
      </c>
      <c r="BL274" s="3">
        <v>1.5</v>
      </c>
      <c r="BM274" s="3">
        <v>1</v>
      </c>
      <c r="BN274" s="3">
        <f t="shared" si="78"/>
        <v>7.3531599205363802</v>
      </c>
      <c r="BO274" s="3">
        <f t="shared" si="79"/>
        <v>5.8531599205363802</v>
      </c>
      <c r="BP274" s="3" t="s">
        <v>1321</v>
      </c>
      <c r="BQ274">
        <v>4</v>
      </c>
      <c r="BR274" t="s">
        <v>73</v>
      </c>
      <c r="BX274" s="21" t="s">
        <v>1322</v>
      </c>
      <c r="BY274" s="3" t="str">
        <f t="shared" si="72"/>
        <v>Och-TL2-DilutionPlate</v>
      </c>
      <c r="BZ274" s="3" t="str">
        <f t="shared" si="73"/>
        <v>A4</v>
      </c>
      <c r="CA274" s="3" t="str">
        <f t="shared" si="74"/>
        <v>Och-A-2</v>
      </c>
      <c r="CC274" s="3">
        <v>1.5</v>
      </c>
      <c r="CD274" t="s">
        <v>1326</v>
      </c>
      <c r="CE274" s="21" t="str">
        <f t="shared" si="70"/>
        <v>OcA0500404A</v>
      </c>
      <c r="CF274" s="21" t="str">
        <f t="shared" si="75"/>
        <v>Och-ACan_004-Ex1-4A-lcwgs-1-1</v>
      </c>
      <c r="CG274" s="3">
        <f t="shared" si="82"/>
        <v>0.30599089701776438</v>
      </c>
      <c r="CH274">
        <v>22605673</v>
      </c>
      <c r="CI274">
        <v>15446690</v>
      </c>
      <c r="CJ274" s="3" t="s">
        <v>79</v>
      </c>
      <c r="CK274" s="3">
        <v>10.719437489485147</v>
      </c>
      <c r="CL274" s="3" t="s">
        <v>1612</v>
      </c>
      <c r="CM274" s="33" t="s">
        <v>1693</v>
      </c>
      <c r="CN274" s="3" t="str">
        <f t="shared" si="83"/>
        <v>Och-ACan_004-Ex1-4A-lcwgs-1-2</v>
      </c>
      <c r="CR274"/>
    </row>
    <row r="275" spans="1:96" x14ac:dyDescent="0.55000000000000004">
      <c r="A275" t="s">
        <v>1211</v>
      </c>
      <c r="B275" t="s">
        <v>1212</v>
      </c>
      <c r="C275" s="3">
        <v>1</v>
      </c>
      <c r="E275" t="s">
        <v>1251</v>
      </c>
      <c r="F275">
        <v>5</v>
      </c>
      <c r="G275" t="s">
        <v>91</v>
      </c>
      <c r="H275">
        <v>11.117377417903736</v>
      </c>
      <c r="I275" s="3" t="s">
        <v>74</v>
      </c>
      <c r="J275" s="3">
        <v>0.2</v>
      </c>
      <c r="K275" s="3">
        <v>7.25</v>
      </c>
      <c r="L275" s="3">
        <v>0.33</v>
      </c>
      <c r="O275" s="3">
        <v>100</v>
      </c>
      <c r="P275" s="3">
        <v>8.9949271524197059</v>
      </c>
      <c r="R275" s="3">
        <v>10</v>
      </c>
      <c r="Z275">
        <v>5</v>
      </c>
      <c r="AA275" t="s">
        <v>73</v>
      </c>
      <c r="AB275" t="s">
        <v>1252</v>
      </c>
      <c r="AC275" s="3" t="s">
        <v>78</v>
      </c>
      <c r="AD275" s="3">
        <v>9</v>
      </c>
      <c r="AE275">
        <v>5</v>
      </c>
      <c r="AF275" t="s">
        <v>73</v>
      </c>
      <c r="AG275" t="s">
        <v>696</v>
      </c>
      <c r="AH275" s="17" t="s">
        <v>697</v>
      </c>
      <c r="AI275" s="18" t="s">
        <v>1355</v>
      </c>
      <c r="AJ275" s="18" t="s">
        <v>1356</v>
      </c>
      <c r="AO275" s="3">
        <v>6.6631901332671131</v>
      </c>
      <c r="AP275" s="3">
        <v>37</v>
      </c>
      <c r="AQ275" s="3">
        <f t="shared" si="71"/>
        <v>246.53803493088319</v>
      </c>
      <c r="BE275" s="3" t="s">
        <v>79</v>
      </c>
      <c r="BF275" s="3" t="s">
        <v>1319</v>
      </c>
      <c r="BG275" s="3" t="s">
        <v>416</v>
      </c>
      <c r="BH275" s="3" t="str">
        <f t="shared" si="80"/>
        <v>Och-ACan_LCWGS-libraries</v>
      </c>
      <c r="BI275" s="3" t="str">
        <f t="shared" si="76"/>
        <v>A5</v>
      </c>
      <c r="BJ275" s="3" t="str">
        <f t="shared" si="81"/>
        <v>Och-TL2-DilutionPlate</v>
      </c>
      <c r="BK275" s="3" t="str">
        <f t="shared" si="77"/>
        <v>A5</v>
      </c>
      <c r="BL275" s="3">
        <v>1.5</v>
      </c>
      <c r="BM275" s="3">
        <v>1</v>
      </c>
      <c r="BN275" s="3">
        <f t="shared" si="78"/>
        <v>9.9947851999006687</v>
      </c>
      <c r="BO275" s="3">
        <f t="shared" si="79"/>
        <v>8.4947851999006687</v>
      </c>
      <c r="BP275" s="3" t="s">
        <v>1321</v>
      </c>
      <c r="BQ275">
        <v>5</v>
      </c>
      <c r="BR275" t="s">
        <v>73</v>
      </c>
      <c r="BX275" s="21" t="s">
        <v>1322</v>
      </c>
      <c r="BY275" s="3" t="str">
        <f t="shared" si="72"/>
        <v>Och-TL2-DilutionPlate</v>
      </c>
      <c r="BZ275" s="3" t="str">
        <f t="shared" si="73"/>
        <v>A5</v>
      </c>
      <c r="CA275" s="3" t="str">
        <f t="shared" si="74"/>
        <v>Och-A-2</v>
      </c>
      <c r="CC275" s="3">
        <v>1.5</v>
      </c>
      <c r="CD275" t="s">
        <v>1327</v>
      </c>
      <c r="CE275" s="21" t="str">
        <f t="shared" si="70"/>
        <v>OcA0500505A</v>
      </c>
      <c r="CF275" s="21" t="str">
        <f t="shared" si="75"/>
        <v>Och-ACan_005-Ex1-5A-lcwgs-1-1</v>
      </c>
      <c r="CG275" s="3">
        <f t="shared" si="82"/>
        <v>0.22511739422097449</v>
      </c>
      <c r="CH275">
        <v>24373500</v>
      </c>
      <c r="CI275">
        <v>17631122</v>
      </c>
      <c r="CJ275" s="3" t="s">
        <v>79</v>
      </c>
      <c r="CK275" s="3">
        <v>6.5928698912621648</v>
      </c>
      <c r="CL275" s="3" t="s">
        <v>1612</v>
      </c>
      <c r="CM275" s="33" t="s">
        <v>1694</v>
      </c>
      <c r="CN275" s="3" t="str">
        <f t="shared" si="83"/>
        <v>Och-ACan_005-Ex1-5A-lcwgs-1-2</v>
      </c>
      <c r="CR275"/>
    </row>
    <row r="276" spans="1:96" x14ac:dyDescent="0.55000000000000004">
      <c r="A276" t="s">
        <v>1213</v>
      </c>
      <c r="B276" t="s">
        <v>1214</v>
      </c>
      <c r="C276" s="3">
        <v>1</v>
      </c>
      <c r="E276" t="s">
        <v>1251</v>
      </c>
      <c r="F276">
        <v>6</v>
      </c>
      <c r="G276" t="s">
        <v>91</v>
      </c>
      <c r="H276">
        <v>5.2792487629329736</v>
      </c>
      <c r="I276" s="3" t="s">
        <v>74</v>
      </c>
      <c r="J276" s="3">
        <v>0.2</v>
      </c>
      <c r="K276" s="3">
        <v>7.25</v>
      </c>
      <c r="L276" s="3">
        <v>0.33</v>
      </c>
      <c r="O276" s="3">
        <v>100</v>
      </c>
      <c r="P276" s="3">
        <v>18.942089015036935</v>
      </c>
      <c r="R276" s="3">
        <v>10</v>
      </c>
      <c r="Z276">
        <v>6</v>
      </c>
      <c r="AA276" t="s">
        <v>73</v>
      </c>
      <c r="AB276" t="s">
        <v>1252</v>
      </c>
      <c r="AC276" s="3" t="s">
        <v>78</v>
      </c>
      <c r="AD276" s="3">
        <v>9</v>
      </c>
      <c r="AE276">
        <v>6</v>
      </c>
      <c r="AF276" t="s">
        <v>73</v>
      </c>
      <c r="AG276" t="s">
        <v>696</v>
      </c>
      <c r="AH276" s="17" t="s">
        <v>697</v>
      </c>
      <c r="AI276" s="18" t="s">
        <v>1357</v>
      </c>
      <c r="AJ276" s="18" t="s">
        <v>1358</v>
      </c>
      <c r="AO276" s="3">
        <v>5.378540683718235</v>
      </c>
      <c r="AP276" s="3">
        <v>37</v>
      </c>
      <c r="AQ276" s="3">
        <f t="shared" si="71"/>
        <v>199.00600529757469</v>
      </c>
      <c r="BE276" s="3" t="s">
        <v>79</v>
      </c>
      <c r="BF276" s="3" t="s">
        <v>1319</v>
      </c>
      <c r="BG276" s="3" t="s">
        <v>416</v>
      </c>
      <c r="BH276" s="3" t="str">
        <f t="shared" si="80"/>
        <v>Och-ACan_LCWGS-libraries</v>
      </c>
      <c r="BI276" s="3" t="str">
        <f t="shared" si="76"/>
        <v>A6</v>
      </c>
      <c r="BJ276" s="3" t="str">
        <f t="shared" si="81"/>
        <v>Och-TL2-DilutionPlate</v>
      </c>
      <c r="BK276" s="3" t="str">
        <f t="shared" si="77"/>
        <v>A6</v>
      </c>
      <c r="BL276" s="3">
        <v>1.5</v>
      </c>
      <c r="BM276" s="3">
        <v>1</v>
      </c>
      <c r="BN276" s="3">
        <f t="shared" si="78"/>
        <v>8.0678110255773525</v>
      </c>
      <c r="BO276" s="3">
        <f t="shared" si="79"/>
        <v>6.5678110255773525</v>
      </c>
      <c r="BP276" s="3" t="s">
        <v>1321</v>
      </c>
      <c r="BQ276">
        <v>6</v>
      </c>
      <c r="BR276" t="s">
        <v>73</v>
      </c>
      <c r="BX276" s="21" t="s">
        <v>1322</v>
      </c>
      <c r="BY276" s="3" t="str">
        <f t="shared" si="72"/>
        <v>Och-TL2-DilutionPlate</v>
      </c>
      <c r="BZ276" s="3" t="str">
        <f t="shared" si="73"/>
        <v>A6</v>
      </c>
      <c r="CA276" s="3" t="str">
        <f t="shared" si="74"/>
        <v>Och-A-2</v>
      </c>
      <c r="CC276" s="3">
        <v>1.5</v>
      </c>
      <c r="CD276" t="s">
        <v>1328</v>
      </c>
      <c r="CE276" s="21" t="str">
        <f t="shared" si="70"/>
        <v>OcA0500606A</v>
      </c>
      <c r="CF276" s="21" t="str">
        <f t="shared" si="75"/>
        <v>Och-ACan_006-Ex1-6A-lcwgs-1-1</v>
      </c>
      <c r="CG276" s="3">
        <f t="shared" si="82"/>
        <v>0.27888605631277591</v>
      </c>
      <c r="CH276">
        <v>21180009</v>
      </c>
      <c r="CI276">
        <v>15102061</v>
      </c>
      <c r="CJ276" s="3" t="s">
        <v>79</v>
      </c>
      <c r="CK276" s="3">
        <v>10.065033724976132</v>
      </c>
      <c r="CL276" s="3" t="s">
        <v>1612</v>
      </c>
      <c r="CM276" s="33" t="s">
        <v>1695</v>
      </c>
      <c r="CN276" s="3" t="str">
        <f t="shared" si="83"/>
        <v>Och-ACan_006-Ex1-6A-lcwgs-1-2</v>
      </c>
      <c r="CR276"/>
    </row>
    <row r="277" spans="1:96" x14ac:dyDescent="0.55000000000000004">
      <c r="A277" t="s">
        <v>1215</v>
      </c>
      <c r="B277" t="s">
        <v>1216</v>
      </c>
      <c r="C277" s="3">
        <v>1</v>
      </c>
      <c r="E277" t="s">
        <v>1251</v>
      </c>
      <c r="F277">
        <v>7</v>
      </c>
      <c r="G277" t="s">
        <v>91</v>
      </c>
      <c r="H277">
        <v>28.473274853801165</v>
      </c>
      <c r="I277" s="3" t="s">
        <v>74</v>
      </c>
      <c r="J277" s="3">
        <v>0.2</v>
      </c>
      <c r="K277" s="3">
        <v>7.25</v>
      </c>
      <c r="L277" s="3">
        <v>0.33</v>
      </c>
      <c r="O277" s="3">
        <v>100</v>
      </c>
      <c r="P277" s="3">
        <v>3.5120652792297289</v>
      </c>
      <c r="R277" s="3">
        <v>10</v>
      </c>
      <c r="Z277">
        <v>7</v>
      </c>
      <c r="AA277" t="s">
        <v>73</v>
      </c>
      <c r="AB277" t="s">
        <v>1252</v>
      </c>
      <c r="AC277" s="3" t="s">
        <v>78</v>
      </c>
      <c r="AD277" s="3">
        <v>9</v>
      </c>
      <c r="AE277">
        <v>7</v>
      </c>
      <c r="AF277" t="s">
        <v>73</v>
      </c>
      <c r="AG277" t="s">
        <v>696</v>
      </c>
      <c r="AH277" s="17" t="s">
        <v>697</v>
      </c>
      <c r="AI277" s="18" t="s">
        <v>1359</v>
      </c>
      <c r="AJ277" s="18" t="s">
        <v>1360</v>
      </c>
      <c r="AO277" s="3">
        <v>3.0233796871119938</v>
      </c>
      <c r="AP277" s="3">
        <v>37</v>
      </c>
      <c r="AQ277" s="3">
        <f t="shared" si="71"/>
        <v>111.86504842314378</v>
      </c>
      <c r="BE277" s="3" t="s">
        <v>79</v>
      </c>
      <c r="BF277" s="3" t="s">
        <v>1319</v>
      </c>
      <c r="BG277" s="3" t="s">
        <v>416</v>
      </c>
      <c r="BH277" s="3" t="str">
        <f t="shared" si="80"/>
        <v>Och-ACan_LCWGS-libraries</v>
      </c>
      <c r="BI277" s="3" t="str">
        <f t="shared" si="76"/>
        <v>A7</v>
      </c>
      <c r="BJ277" s="3" t="str">
        <f t="shared" si="81"/>
        <v>Och-TL2-DilutionPlate</v>
      </c>
      <c r="BK277" s="3" t="str">
        <f t="shared" si="77"/>
        <v>A7</v>
      </c>
      <c r="BL277" s="3">
        <v>1.5</v>
      </c>
      <c r="BM277" s="3">
        <v>1</v>
      </c>
      <c r="BN277" s="3">
        <f t="shared" si="78"/>
        <v>4.5350695306679905</v>
      </c>
      <c r="BO277" s="3">
        <f t="shared" si="79"/>
        <v>3.0350695306679905</v>
      </c>
      <c r="BP277" s="3" t="s">
        <v>1321</v>
      </c>
      <c r="BQ277">
        <v>7</v>
      </c>
      <c r="BR277" t="s">
        <v>73</v>
      </c>
      <c r="BX277" s="21" t="s">
        <v>1322</v>
      </c>
      <c r="BY277" s="3" t="str">
        <f t="shared" si="72"/>
        <v>Och-TL2-DilutionPlate</v>
      </c>
      <c r="BZ277" s="3" t="str">
        <f t="shared" si="73"/>
        <v>A7</v>
      </c>
      <c r="CA277" s="3" t="str">
        <f t="shared" si="74"/>
        <v>Och-A-2</v>
      </c>
      <c r="CC277" s="3">
        <v>1.5</v>
      </c>
      <c r="CD277" t="s">
        <v>1329</v>
      </c>
      <c r="CE277" s="21" t="str">
        <f t="shared" si="70"/>
        <v>OcA0500707A</v>
      </c>
      <c r="CF277" s="21" t="str">
        <f t="shared" si="75"/>
        <v>Och-ACan_007-Ex1-7A-lcwgs-1-1</v>
      </c>
      <c r="CG277" s="3">
        <f t="shared" si="82"/>
        <v>0.496133517862203</v>
      </c>
      <c r="CH277">
        <v>51848094</v>
      </c>
      <c r="CI277">
        <v>36677216</v>
      </c>
      <c r="CJ277" s="3" t="s">
        <v>79</v>
      </c>
      <c r="CK277" s="3">
        <v>4.0626541689827835</v>
      </c>
      <c r="CL277" s="3" t="s">
        <v>1612</v>
      </c>
      <c r="CM277" s="33" t="s">
        <v>1696</v>
      </c>
      <c r="CN277" s="3" t="str">
        <f t="shared" si="83"/>
        <v>Och-ACan_007-Ex1-7A-lcwgs-1-2</v>
      </c>
      <c r="CR277"/>
    </row>
    <row r="278" spans="1:96" x14ac:dyDescent="0.55000000000000004">
      <c r="A278" t="s">
        <v>1217</v>
      </c>
      <c r="B278" t="s">
        <v>1218</v>
      </c>
      <c r="C278" s="3">
        <v>1</v>
      </c>
      <c r="E278" t="s">
        <v>1251</v>
      </c>
      <c r="F278">
        <v>8</v>
      </c>
      <c r="G278" t="s">
        <v>91</v>
      </c>
      <c r="H278">
        <v>2.4266216824111559</v>
      </c>
      <c r="I278" s="3" t="s">
        <v>74</v>
      </c>
      <c r="J278" s="3">
        <v>0.2</v>
      </c>
      <c r="K278" s="3">
        <v>7.25</v>
      </c>
      <c r="L278" s="3">
        <v>0.33</v>
      </c>
      <c r="O278" s="3">
        <v>97.064867296446238</v>
      </c>
      <c r="P278" s="3">
        <v>40</v>
      </c>
      <c r="R278" s="3">
        <v>10</v>
      </c>
      <c r="Z278">
        <v>8</v>
      </c>
      <c r="AA278" t="s">
        <v>73</v>
      </c>
      <c r="AB278" t="s">
        <v>1252</v>
      </c>
      <c r="AC278" s="3" t="s">
        <v>78</v>
      </c>
      <c r="AD278" s="3">
        <v>9</v>
      </c>
      <c r="AE278">
        <v>8</v>
      </c>
      <c r="AF278" t="s">
        <v>73</v>
      </c>
      <c r="AG278" t="s">
        <v>696</v>
      </c>
      <c r="AH278" s="17" t="s">
        <v>697</v>
      </c>
      <c r="AI278" s="18" t="s">
        <v>1361</v>
      </c>
      <c r="AJ278" s="18" t="s">
        <v>1362</v>
      </c>
      <c r="AO278" s="3">
        <v>2.9589893220759875</v>
      </c>
      <c r="AP278" s="3">
        <v>37</v>
      </c>
      <c r="AQ278" s="3">
        <f t="shared" si="71"/>
        <v>109.48260491681154</v>
      </c>
      <c r="BE278" s="3" t="s">
        <v>79</v>
      </c>
      <c r="BF278" s="3" t="s">
        <v>1319</v>
      </c>
      <c r="BG278" s="3" t="s">
        <v>416</v>
      </c>
      <c r="BH278" s="3" t="str">
        <f t="shared" si="80"/>
        <v>Och-ACan_LCWGS-libraries</v>
      </c>
      <c r="BI278" s="3" t="str">
        <f t="shared" si="76"/>
        <v>A8</v>
      </c>
      <c r="BJ278" s="3" t="str">
        <f t="shared" si="81"/>
        <v>Och-TL2-DilutionPlate</v>
      </c>
      <c r="BK278" s="3" t="str">
        <f t="shared" si="77"/>
        <v>A8</v>
      </c>
      <c r="BL278" s="3">
        <v>1.5</v>
      </c>
      <c r="BM278" s="3">
        <v>1</v>
      </c>
      <c r="BN278" s="3">
        <f t="shared" si="78"/>
        <v>4.4384839831139811</v>
      </c>
      <c r="BO278" s="3">
        <f t="shared" si="79"/>
        <v>2.9384839831139811</v>
      </c>
      <c r="BP278" s="3" t="s">
        <v>1321</v>
      </c>
      <c r="BQ278">
        <v>8</v>
      </c>
      <c r="BR278" t="s">
        <v>73</v>
      </c>
      <c r="BX278" s="21" t="s">
        <v>1322</v>
      </c>
      <c r="BY278" s="3" t="str">
        <f t="shared" si="72"/>
        <v>Och-TL2-DilutionPlate</v>
      </c>
      <c r="BZ278" s="3" t="str">
        <f t="shared" si="73"/>
        <v>A8</v>
      </c>
      <c r="CA278" s="3" t="str">
        <f t="shared" si="74"/>
        <v>Och-A-2</v>
      </c>
      <c r="CC278" s="3">
        <v>1.5</v>
      </c>
      <c r="CD278" t="s">
        <v>1330</v>
      </c>
      <c r="CE278" s="21" t="str">
        <f t="shared" si="70"/>
        <v>OcA0500808A</v>
      </c>
      <c r="CF278" s="21" t="str">
        <f t="shared" si="75"/>
        <v>Och-ACan_008-Ex1-8A-lcwgs-1-1</v>
      </c>
      <c r="CG278" s="3">
        <f t="shared" si="82"/>
        <v>0.50692984554186227</v>
      </c>
      <c r="CH278">
        <v>56878040</v>
      </c>
      <c r="CI278">
        <v>36966991</v>
      </c>
      <c r="CJ278" s="3" t="s">
        <v>79</v>
      </c>
      <c r="CK278" s="3">
        <v>4.0734536666776755</v>
      </c>
      <c r="CL278" s="3" t="s">
        <v>1612</v>
      </c>
      <c r="CM278" s="33" t="s">
        <v>1697</v>
      </c>
      <c r="CN278" s="3" t="str">
        <f t="shared" si="83"/>
        <v>Och-ACan_008-Ex1-8A-lcwgs-1-2</v>
      </c>
      <c r="CR278"/>
    </row>
    <row r="279" spans="1:96" x14ac:dyDescent="0.55000000000000004">
      <c r="A279" t="s">
        <v>1219</v>
      </c>
      <c r="B279" t="s">
        <v>1220</v>
      </c>
      <c r="C279" s="3">
        <v>1</v>
      </c>
      <c r="E279" t="s">
        <v>1251</v>
      </c>
      <c r="F279">
        <v>9</v>
      </c>
      <c r="G279" t="s">
        <v>91</v>
      </c>
      <c r="H279">
        <v>7.158744939271255</v>
      </c>
      <c r="I279" s="3" t="s">
        <v>74</v>
      </c>
      <c r="J279" s="3">
        <v>0.2</v>
      </c>
      <c r="K279" s="3">
        <v>7.25</v>
      </c>
      <c r="L279" s="3">
        <v>0.33</v>
      </c>
      <c r="O279" s="3">
        <v>100</v>
      </c>
      <c r="P279" s="3">
        <v>13.968929029922917</v>
      </c>
      <c r="R279" s="3">
        <v>10</v>
      </c>
      <c r="Z279">
        <v>9</v>
      </c>
      <c r="AA279" t="s">
        <v>73</v>
      </c>
      <c r="AB279" t="s">
        <v>1252</v>
      </c>
      <c r="AC279" s="3" t="s">
        <v>78</v>
      </c>
      <c r="AD279" s="3">
        <v>9</v>
      </c>
      <c r="AE279">
        <v>9</v>
      </c>
      <c r="AF279" t="s">
        <v>73</v>
      </c>
      <c r="AG279" t="s">
        <v>696</v>
      </c>
      <c r="AH279" s="17" t="s">
        <v>697</v>
      </c>
      <c r="AI279" s="18" t="s">
        <v>1363</v>
      </c>
      <c r="AJ279" s="18" t="s">
        <v>1364</v>
      </c>
      <c r="AO279" s="3">
        <v>6.6299188808873435</v>
      </c>
      <c r="AP279" s="3">
        <v>37</v>
      </c>
      <c r="AQ279" s="3">
        <f t="shared" si="71"/>
        <v>245.30699859283172</v>
      </c>
      <c r="BE279" s="3" t="s">
        <v>79</v>
      </c>
      <c r="BF279" s="3" t="s">
        <v>1319</v>
      </c>
      <c r="BG279" s="3" t="s">
        <v>416</v>
      </c>
      <c r="BH279" s="3" t="str">
        <f t="shared" si="80"/>
        <v>Och-ACan_LCWGS-libraries</v>
      </c>
      <c r="BI279" s="3" t="str">
        <f t="shared" si="76"/>
        <v>A9</v>
      </c>
      <c r="BJ279" s="3" t="str">
        <f t="shared" si="81"/>
        <v>Och-TL2-DilutionPlate</v>
      </c>
      <c r="BK279" s="3" t="str">
        <f t="shared" si="77"/>
        <v>A9</v>
      </c>
      <c r="BL279" s="3">
        <v>1.5</v>
      </c>
      <c r="BM279" s="3">
        <v>1</v>
      </c>
      <c r="BN279" s="3">
        <f t="shared" si="78"/>
        <v>9.9448783213310143</v>
      </c>
      <c r="BO279" s="3">
        <f t="shared" si="79"/>
        <v>8.4448783213310143</v>
      </c>
      <c r="BP279" s="3" t="s">
        <v>1321</v>
      </c>
      <c r="BQ279">
        <v>9</v>
      </c>
      <c r="BR279" t="s">
        <v>73</v>
      </c>
      <c r="BX279" s="21" t="s">
        <v>1322</v>
      </c>
      <c r="BY279" s="3" t="str">
        <f t="shared" si="72"/>
        <v>Och-TL2-DilutionPlate</v>
      </c>
      <c r="BZ279" s="3" t="str">
        <f t="shared" si="73"/>
        <v>A9</v>
      </c>
      <c r="CA279" s="3" t="str">
        <f t="shared" si="74"/>
        <v>Och-A-2</v>
      </c>
      <c r="CC279" s="3">
        <v>1.5</v>
      </c>
      <c r="CD279" t="s">
        <v>1331</v>
      </c>
      <c r="CE279" s="21" t="str">
        <f t="shared" si="70"/>
        <v>OcA0500909A</v>
      </c>
      <c r="CF279" s="21" t="str">
        <f t="shared" si="75"/>
        <v>Och-ACan_009-Ex1-9A-lcwgs-1-1</v>
      </c>
      <c r="CG279" s="3">
        <f t="shared" si="82"/>
        <v>0.2262471120610817</v>
      </c>
      <c r="CH279">
        <v>28627198</v>
      </c>
      <c r="CI279">
        <v>21198190</v>
      </c>
      <c r="CJ279" s="3" t="s">
        <v>79</v>
      </c>
      <c r="CK279" s="3">
        <v>5.0791989528191808</v>
      </c>
      <c r="CL279" s="3" t="s">
        <v>1612</v>
      </c>
      <c r="CM279" s="33" t="s">
        <v>1698</v>
      </c>
      <c r="CN279" s="3" t="str">
        <f t="shared" si="83"/>
        <v>Och-ACan_009-Ex1-9A-lcwgs-1-2</v>
      </c>
      <c r="CR279"/>
    </row>
    <row r="280" spans="1:96" x14ac:dyDescent="0.55000000000000004">
      <c r="A280" t="s">
        <v>1221</v>
      </c>
      <c r="B280" t="s">
        <v>1222</v>
      </c>
      <c r="C280" s="3">
        <v>1</v>
      </c>
      <c r="E280" t="s">
        <v>1251</v>
      </c>
      <c r="F280">
        <v>10</v>
      </c>
      <c r="G280" t="s">
        <v>91</v>
      </c>
      <c r="H280">
        <v>11.11574898785425</v>
      </c>
      <c r="I280" s="3" t="s">
        <v>74</v>
      </c>
      <c r="J280" s="3">
        <v>0.2</v>
      </c>
      <c r="K280" s="3">
        <v>7.25</v>
      </c>
      <c r="L280" s="3">
        <v>0.33</v>
      </c>
      <c r="O280" s="3">
        <v>100</v>
      </c>
      <c r="P280" s="3">
        <v>8.996244887255564</v>
      </c>
      <c r="R280" s="3">
        <v>10</v>
      </c>
      <c r="Z280">
        <v>10</v>
      </c>
      <c r="AA280" t="s">
        <v>73</v>
      </c>
      <c r="AB280" t="s">
        <v>1252</v>
      </c>
      <c r="AC280" s="3" t="s">
        <v>78</v>
      </c>
      <c r="AD280" s="3">
        <v>9</v>
      </c>
      <c r="AE280">
        <v>10</v>
      </c>
      <c r="AF280" t="s">
        <v>73</v>
      </c>
      <c r="AG280" t="s">
        <v>696</v>
      </c>
      <c r="AH280" s="17" t="s">
        <v>697</v>
      </c>
      <c r="AI280" s="18" t="s">
        <v>1365</v>
      </c>
      <c r="AJ280" s="18" t="s">
        <v>1366</v>
      </c>
      <c r="AO280" s="3">
        <v>1.0265168446320667</v>
      </c>
      <c r="AP280" s="3">
        <v>37</v>
      </c>
      <c r="AQ280" s="3">
        <f t="shared" si="71"/>
        <v>37.981123251386471</v>
      </c>
      <c r="BE280" s="3" t="s">
        <v>79</v>
      </c>
      <c r="BF280" s="3" t="s">
        <v>1319</v>
      </c>
      <c r="BG280" s="3" t="s">
        <v>416</v>
      </c>
      <c r="BH280" s="3" t="str">
        <f t="shared" si="80"/>
        <v>Och-ACan_LCWGS-libraries</v>
      </c>
      <c r="BI280" s="3" t="str">
        <f t="shared" si="76"/>
        <v>A10</v>
      </c>
      <c r="BJ280" s="3" t="str">
        <f t="shared" si="81"/>
        <v>Och-TL2-DilutionPlate</v>
      </c>
      <c r="BK280" s="3" t="str">
        <f t="shared" si="77"/>
        <v>A10</v>
      </c>
      <c r="BL280" s="3">
        <v>1.5</v>
      </c>
      <c r="BM280" s="3">
        <v>1</v>
      </c>
      <c r="BN280" s="3">
        <f t="shared" si="78"/>
        <v>1.5397752669481002</v>
      </c>
      <c r="BO280" s="3">
        <f t="shared" si="79"/>
        <v>3.9775266948100185E-2</v>
      </c>
      <c r="BP280" s="3" t="s">
        <v>1321</v>
      </c>
      <c r="BQ280">
        <v>10</v>
      </c>
      <c r="BR280" t="s">
        <v>73</v>
      </c>
      <c r="BX280" s="21" t="s">
        <v>1322</v>
      </c>
      <c r="BY280" s="3" t="str">
        <f t="shared" si="72"/>
        <v>Och-TL2-DilutionPlate</v>
      </c>
      <c r="BZ280" s="3" t="str">
        <f t="shared" si="73"/>
        <v>A10</v>
      </c>
      <c r="CA280" s="3" t="str">
        <f t="shared" si="74"/>
        <v>Och-A-2</v>
      </c>
      <c r="CC280" s="3">
        <v>1.5</v>
      </c>
      <c r="CD280" t="s">
        <v>1332</v>
      </c>
      <c r="CE280" s="21" t="str">
        <f t="shared" si="70"/>
        <v>OcA0501010A</v>
      </c>
      <c r="CF280" s="21" t="str">
        <f t="shared" si="75"/>
        <v>Och-ACan_010-Ex1-10A-lcwgs-1-1</v>
      </c>
      <c r="CG280" s="3">
        <f t="shared" si="82"/>
        <v>1.4612522023811925</v>
      </c>
      <c r="CH280">
        <v>8113920</v>
      </c>
      <c r="CI280">
        <v>6210014</v>
      </c>
      <c r="CJ280" s="3" t="s">
        <v>79</v>
      </c>
      <c r="CK280" s="3" t="s">
        <v>1199</v>
      </c>
      <c r="CL280" s="3" t="s">
        <v>1612</v>
      </c>
      <c r="CM280" s="33" t="s">
        <v>1699</v>
      </c>
      <c r="CN280" s="3" t="str">
        <f t="shared" si="83"/>
        <v>Och-ACan_010-Ex1-10A-lcwgs-1-2</v>
      </c>
      <c r="CR280"/>
    </row>
    <row r="281" spans="1:96" x14ac:dyDescent="0.55000000000000004">
      <c r="A281" t="s">
        <v>1223</v>
      </c>
      <c r="B281" t="s">
        <v>1224</v>
      </c>
      <c r="C281" s="3">
        <v>1</v>
      </c>
      <c r="E281" t="s">
        <v>1251</v>
      </c>
      <c r="F281">
        <v>11</v>
      </c>
      <c r="G281" t="s">
        <v>91</v>
      </c>
      <c r="H281">
        <v>15.063900134952767</v>
      </c>
      <c r="I281" s="3" t="s">
        <v>74</v>
      </c>
      <c r="J281" s="3">
        <v>0.2</v>
      </c>
      <c r="K281" s="3">
        <v>7.25</v>
      </c>
      <c r="L281" s="3">
        <v>0.33</v>
      </c>
      <c r="O281" s="3">
        <v>100</v>
      </c>
      <c r="P281" s="3">
        <v>6.6383870779898491</v>
      </c>
      <c r="R281" s="3">
        <v>10</v>
      </c>
      <c r="Z281">
        <v>11</v>
      </c>
      <c r="AA281" t="s">
        <v>73</v>
      </c>
      <c r="AB281" t="s">
        <v>1252</v>
      </c>
      <c r="AC281" s="3" t="s">
        <v>78</v>
      </c>
      <c r="AD281" s="3">
        <v>9</v>
      </c>
      <c r="AE281">
        <v>11</v>
      </c>
      <c r="AF281" t="s">
        <v>73</v>
      </c>
      <c r="AG281" t="s">
        <v>696</v>
      </c>
      <c r="AH281" s="17" t="s">
        <v>697</v>
      </c>
      <c r="AI281" s="18" t="s">
        <v>1367</v>
      </c>
      <c r="AJ281" s="18" t="s">
        <v>1368</v>
      </c>
      <c r="AO281" s="3">
        <v>5.0871285489611786</v>
      </c>
      <c r="AP281" s="3">
        <v>37</v>
      </c>
      <c r="AQ281" s="3">
        <f t="shared" si="71"/>
        <v>188.22375631156362</v>
      </c>
      <c r="BE281" s="3" t="s">
        <v>79</v>
      </c>
      <c r="BF281" s="3" t="s">
        <v>1319</v>
      </c>
      <c r="BG281" s="3" t="s">
        <v>416</v>
      </c>
      <c r="BH281" s="3" t="str">
        <f t="shared" si="80"/>
        <v>Och-ACan_LCWGS-libraries</v>
      </c>
      <c r="BI281" s="3" t="str">
        <f t="shared" si="76"/>
        <v>A11</v>
      </c>
      <c r="BJ281" s="3" t="str">
        <f t="shared" si="81"/>
        <v>Och-TL2-DilutionPlate</v>
      </c>
      <c r="BK281" s="3" t="str">
        <f t="shared" si="77"/>
        <v>A11</v>
      </c>
      <c r="BL281" s="3">
        <v>1.5</v>
      </c>
      <c r="BM281" s="3">
        <v>1</v>
      </c>
      <c r="BN281" s="3">
        <f t="shared" si="78"/>
        <v>7.6306928234417679</v>
      </c>
      <c r="BO281" s="3">
        <f t="shared" si="79"/>
        <v>6.1306928234417679</v>
      </c>
      <c r="BP281" s="3" t="s">
        <v>1321</v>
      </c>
      <c r="BQ281">
        <v>11</v>
      </c>
      <c r="BR281" t="s">
        <v>73</v>
      </c>
      <c r="BX281" s="21" t="s">
        <v>1322</v>
      </c>
      <c r="BY281" s="3" t="str">
        <f t="shared" si="72"/>
        <v>Och-TL2-DilutionPlate</v>
      </c>
      <c r="BZ281" s="3" t="str">
        <f t="shared" si="73"/>
        <v>A11</v>
      </c>
      <c r="CA281" s="3" t="str">
        <f t="shared" si="74"/>
        <v>Och-A-2</v>
      </c>
      <c r="CC281" s="3">
        <v>1.5</v>
      </c>
      <c r="CD281" t="s">
        <v>1333</v>
      </c>
      <c r="CE281" s="21" t="str">
        <f t="shared" si="70"/>
        <v>OcA0501111A</v>
      </c>
      <c r="CF281" s="21" t="str">
        <f t="shared" si="75"/>
        <v>Och-ACan_011-Ex1-11A-lcwgs-1-1</v>
      </c>
      <c r="CG281" s="3">
        <f t="shared" si="82"/>
        <v>0.29486182343599493</v>
      </c>
      <c r="CH281">
        <v>25232562</v>
      </c>
      <c r="CI281">
        <v>18643762</v>
      </c>
      <c r="CJ281" s="3" t="s">
        <v>79</v>
      </c>
      <c r="CK281" s="3">
        <v>7.9847523390743165</v>
      </c>
      <c r="CL281" s="3" t="s">
        <v>1612</v>
      </c>
      <c r="CM281" s="33" t="s">
        <v>1700</v>
      </c>
      <c r="CN281" s="3" t="str">
        <f t="shared" si="83"/>
        <v>Och-ACan_011-Ex1-11A-lcwgs-1-2</v>
      </c>
      <c r="CR281"/>
    </row>
    <row r="282" spans="1:96" x14ac:dyDescent="0.55000000000000004">
      <c r="A282" t="s">
        <v>1225</v>
      </c>
      <c r="B282" t="s">
        <v>1226</v>
      </c>
      <c r="C282" s="3">
        <v>1</v>
      </c>
      <c r="E282" t="s">
        <v>1251</v>
      </c>
      <c r="F282">
        <v>12</v>
      </c>
      <c r="G282" t="s">
        <v>91</v>
      </c>
      <c r="H282">
        <v>6.02361673414305</v>
      </c>
      <c r="I282" s="3" t="s">
        <v>74</v>
      </c>
      <c r="J282" s="3">
        <v>0.2</v>
      </c>
      <c r="K282" s="3">
        <v>7.25</v>
      </c>
      <c r="L282" s="3">
        <v>0.33</v>
      </c>
      <c r="O282" s="3">
        <v>100</v>
      </c>
      <c r="P282" s="3">
        <v>16.601321832642544</v>
      </c>
      <c r="R282" s="3">
        <v>10</v>
      </c>
      <c r="Z282">
        <v>12</v>
      </c>
      <c r="AA282" t="s">
        <v>73</v>
      </c>
      <c r="AB282" t="s">
        <v>1252</v>
      </c>
      <c r="AC282" s="3" t="s">
        <v>78</v>
      </c>
      <c r="AD282" s="3">
        <v>9</v>
      </c>
      <c r="AE282">
        <v>12</v>
      </c>
      <c r="AF282" t="s">
        <v>73</v>
      </c>
      <c r="AG282" t="s">
        <v>696</v>
      </c>
      <c r="AH282" s="17" t="s">
        <v>697</v>
      </c>
      <c r="AI282" s="18" t="s">
        <v>1369</v>
      </c>
      <c r="AJ282" s="18" t="s">
        <v>1370</v>
      </c>
      <c r="AO282" s="3">
        <v>2.8765209833623047</v>
      </c>
      <c r="AP282" s="3">
        <v>37</v>
      </c>
      <c r="AQ282" s="3">
        <f t="shared" si="71"/>
        <v>106.43127638440527</v>
      </c>
      <c r="BE282" s="3" t="s">
        <v>79</v>
      </c>
      <c r="BF282" s="3" t="s">
        <v>1319</v>
      </c>
      <c r="BG282" s="3" t="s">
        <v>416</v>
      </c>
      <c r="BH282" s="3" t="str">
        <f t="shared" si="80"/>
        <v>Och-ACan_LCWGS-libraries</v>
      </c>
      <c r="BI282" s="3" t="str">
        <f t="shared" si="76"/>
        <v>A12</v>
      </c>
      <c r="BJ282" s="3" t="str">
        <f t="shared" si="81"/>
        <v>Och-TL2-DilutionPlate</v>
      </c>
      <c r="BK282" s="3" t="str">
        <f t="shared" si="77"/>
        <v>A12</v>
      </c>
      <c r="BL282" s="3">
        <v>1.5</v>
      </c>
      <c r="BM282" s="3">
        <v>1</v>
      </c>
      <c r="BN282" s="3">
        <f t="shared" si="78"/>
        <v>4.314781475043457</v>
      </c>
      <c r="BO282" s="3">
        <f t="shared" si="79"/>
        <v>2.814781475043457</v>
      </c>
      <c r="BP282" s="3" t="s">
        <v>1321</v>
      </c>
      <c r="BQ282">
        <v>12</v>
      </c>
      <c r="BR282" t="s">
        <v>73</v>
      </c>
      <c r="BX282" s="21" t="s">
        <v>1322</v>
      </c>
      <c r="BY282" s="3" t="str">
        <f t="shared" si="72"/>
        <v>Och-TL2-DilutionPlate</v>
      </c>
      <c r="BZ282" s="3" t="str">
        <f t="shared" si="73"/>
        <v>A12</v>
      </c>
      <c r="CA282" s="3" t="str">
        <f t="shared" si="74"/>
        <v>Och-A-2</v>
      </c>
      <c r="CC282" s="3">
        <v>1.5</v>
      </c>
      <c r="CD282" t="s">
        <v>1334</v>
      </c>
      <c r="CE282" s="21" t="str">
        <f t="shared" si="70"/>
        <v>OcA0501212A</v>
      </c>
      <c r="CF282" s="21" t="str">
        <f t="shared" si="75"/>
        <v>Och-ACan_012-Ex1-12A-lcwgs-1-1</v>
      </c>
      <c r="CG282" s="3">
        <f t="shared" si="82"/>
        <v>0.52146325671738425</v>
      </c>
      <c r="CH282">
        <v>20250405</v>
      </c>
      <c r="CI282">
        <v>14443669</v>
      </c>
      <c r="CJ282" s="3" t="s">
        <v>79</v>
      </c>
      <c r="CK282" s="3">
        <v>19.947134990434954</v>
      </c>
      <c r="CL282" s="3" t="s">
        <v>1612</v>
      </c>
      <c r="CM282" s="33" t="s">
        <v>1701</v>
      </c>
      <c r="CN282" s="3" t="str">
        <f t="shared" si="83"/>
        <v>Och-ACan_012-Ex1-12A-lcwgs-1-2</v>
      </c>
      <c r="CR282"/>
    </row>
    <row r="283" spans="1:96" x14ac:dyDescent="0.55000000000000004">
      <c r="A283" t="s">
        <v>1227</v>
      </c>
      <c r="B283" t="s">
        <v>1228</v>
      </c>
      <c r="C283" s="3">
        <v>1</v>
      </c>
      <c r="E283" t="s">
        <v>1251</v>
      </c>
      <c r="F283">
        <v>1</v>
      </c>
      <c r="G283" t="s">
        <v>92</v>
      </c>
      <c r="H283">
        <v>7.4198848506657082</v>
      </c>
      <c r="I283" s="3" t="s">
        <v>74</v>
      </c>
      <c r="J283" s="3">
        <v>0.2</v>
      </c>
      <c r="K283" s="3">
        <v>7.25</v>
      </c>
      <c r="L283" s="3">
        <v>0.33</v>
      </c>
      <c r="O283" s="3">
        <v>100</v>
      </c>
      <c r="P283" s="3">
        <v>13.477298099987097</v>
      </c>
      <c r="R283" s="3">
        <v>10</v>
      </c>
      <c r="Z283">
        <v>1</v>
      </c>
      <c r="AA283" t="s">
        <v>76</v>
      </c>
      <c r="AB283" t="s">
        <v>1252</v>
      </c>
      <c r="AC283" s="3" t="s">
        <v>78</v>
      </c>
      <c r="AD283" s="3">
        <v>9</v>
      </c>
      <c r="AE283">
        <v>1</v>
      </c>
      <c r="AF283" t="s">
        <v>76</v>
      </c>
      <c r="AG283" t="s">
        <v>700</v>
      </c>
      <c r="AH283" s="17" t="s">
        <v>701</v>
      </c>
      <c r="AI283" s="18" t="s">
        <v>1347</v>
      </c>
      <c r="AJ283" s="18" t="s">
        <v>1348</v>
      </c>
      <c r="AO283" s="3">
        <v>4.4974174323317602</v>
      </c>
      <c r="AP283" s="3">
        <v>37</v>
      </c>
      <c r="AQ283" s="3">
        <f t="shared" si="71"/>
        <v>166.40444499627512</v>
      </c>
      <c r="BE283" s="3" t="s">
        <v>79</v>
      </c>
      <c r="BF283" s="3" t="s">
        <v>1319</v>
      </c>
      <c r="BG283" s="3" t="s">
        <v>416</v>
      </c>
      <c r="BH283" s="3" t="str">
        <f t="shared" si="80"/>
        <v>Och-ACan_LCWGS-libraries</v>
      </c>
      <c r="BI283" s="3" t="str">
        <f t="shared" si="76"/>
        <v>B1</v>
      </c>
      <c r="BJ283" s="3" t="str">
        <f t="shared" si="81"/>
        <v>Och-TL2-DilutionPlate</v>
      </c>
      <c r="BK283" s="3" t="str">
        <f t="shared" si="77"/>
        <v>B1</v>
      </c>
      <c r="BL283" s="3">
        <v>1.5</v>
      </c>
      <c r="BM283" s="3">
        <v>1</v>
      </c>
      <c r="BN283" s="3">
        <f t="shared" si="78"/>
        <v>6.7461261484976403</v>
      </c>
      <c r="BO283" s="3">
        <f t="shared" si="79"/>
        <v>5.2461261484976403</v>
      </c>
      <c r="BP283" s="3" t="s">
        <v>1321</v>
      </c>
      <c r="BQ283">
        <v>1</v>
      </c>
      <c r="BR283" t="s">
        <v>76</v>
      </c>
      <c r="BX283" s="21" t="s">
        <v>1322</v>
      </c>
      <c r="BY283" s="3" t="str">
        <f t="shared" si="72"/>
        <v>Och-TL2-DilutionPlate</v>
      </c>
      <c r="BZ283" s="3" t="str">
        <f t="shared" si="73"/>
        <v>B1</v>
      </c>
      <c r="CA283" s="3" t="str">
        <f t="shared" si="74"/>
        <v>Och-A-2</v>
      </c>
      <c r="CC283" s="3">
        <v>1.5</v>
      </c>
      <c r="CD283" t="s">
        <v>1335</v>
      </c>
      <c r="CE283" s="21" t="str">
        <f t="shared" si="70"/>
        <v>OcA0501301B</v>
      </c>
      <c r="CF283" s="21" t="str">
        <f t="shared" si="75"/>
        <v>Och-ACan_013-Ex1-1B-lcwgs-1-1</v>
      </c>
      <c r="CG283" s="3">
        <f t="shared" si="82"/>
        <v>0.33352474449370834</v>
      </c>
      <c r="CH283">
        <v>38917876</v>
      </c>
      <c r="CI283">
        <v>26674820</v>
      </c>
      <c r="CJ283" s="3" t="s">
        <v>79</v>
      </c>
      <c r="CK283" s="3">
        <v>5.173643894509202</v>
      </c>
      <c r="CL283" s="3" t="s">
        <v>1612</v>
      </c>
      <c r="CM283" s="33" t="s">
        <v>1702</v>
      </c>
      <c r="CN283" s="3" t="str">
        <f t="shared" si="83"/>
        <v>Och-ACan_013-Ex1-1B-lcwgs-1-2</v>
      </c>
      <c r="CR283"/>
    </row>
    <row r="284" spans="1:96" x14ac:dyDescent="0.55000000000000004">
      <c r="A284" t="s">
        <v>1229</v>
      </c>
      <c r="B284" t="s">
        <v>1230</v>
      </c>
      <c r="C284" s="3">
        <v>1</v>
      </c>
      <c r="E284" t="s">
        <v>1251</v>
      </c>
      <c r="F284">
        <v>2</v>
      </c>
      <c r="G284" t="s">
        <v>92</v>
      </c>
      <c r="H284">
        <v>9.3467650233897093</v>
      </c>
      <c r="I284" s="3" t="s">
        <v>74</v>
      </c>
      <c r="J284" s="3">
        <v>0.2</v>
      </c>
      <c r="K284" s="3">
        <v>7.25</v>
      </c>
      <c r="L284" s="3">
        <v>0.33</v>
      </c>
      <c r="O284" s="3">
        <v>100</v>
      </c>
      <c r="P284" s="3">
        <v>10.698888840123411</v>
      </c>
      <c r="R284" s="3">
        <v>10</v>
      </c>
      <c r="Z284">
        <v>2</v>
      </c>
      <c r="AA284" t="s">
        <v>76</v>
      </c>
      <c r="AB284" t="s">
        <v>1252</v>
      </c>
      <c r="AC284" s="3" t="s">
        <v>78</v>
      </c>
      <c r="AD284" s="3">
        <v>9</v>
      </c>
      <c r="AE284">
        <v>2</v>
      </c>
      <c r="AF284" t="s">
        <v>76</v>
      </c>
      <c r="AG284" t="s">
        <v>700</v>
      </c>
      <c r="AH284" s="17" t="s">
        <v>701</v>
      </c>
      <c r="AI284" s="18" t="s">
        <v>1349</v>
      </c>
      <c r="AJ284" s="18" t="s">
        <v>1350</v>
      </c>
      <c r="AO284" s="3">
        <v>1.8609303865574041</v>
      </c>
      <c r="AP284" s="3">
        <v>37</v>
      </c>
      <c r="AQ284" s="3">
        <f t="shared" si="71"/>
        <v>68.854424302623954</v>
      </c>
      <c r="BE284" s="3" t="s">
        <v>79</v>
      </c>
      <c r="BF284" s="3" t="s">
        <v>1319</v>
      </c>
      <c r="BG284" s="3" t="s">
        <v>416</v>
      </c>
      <c r="BH284" s="3" t="str">
        <f t="shared" si="80"/>
        <v>Och-ACan_LCWGS-libraries</v>
      </c>
      <c r="BI284" s="3" t="str">
        <f t="shared" si="76"/>
        <v>B2</v>
      </c>
      <c r="BJ284" s="3" t="str">
        <f t="shared" si="81"/>
        <v>Och-TL2-DilutionPlate</v>
      </c>
      <c r="BK284" s="3" t="str">
        <f t="shared" si="77"/>
        <v>B2</v>
      </c>
      <c r="BL284" s="3">
        <v>1.5</v>
      </c>
      <c r="BM284" s="3">
        <v>1</v>
      </c>
      <c r="BN284" s="3">
        <f t="shared" si="78"/>
        <v>2.7913955798361059</v>
      </c>
      <c r="BO284" s="3">
        <f t="shared" si="79"/>
        <v>1.2913955798361059</v>
      </c>
      <c r="BP284" s="3" t="s">
        <v>1321</v>
      </c>
      <c r="BQ284">
        <v>2</v>
      </c>
      <c r="BR284" t="s">
        <v>76</v>
      </c>
      <c r="BX284" s="21" t="s">
        <v>1322</v>
      </c>
      <c r="BY284" s="3" t="str">
        <f t="shared" si="72"/>
        <v>Och-TL2-DilutionPlate</v>
      </c>
      <c r="BZ284" s="3" t="str">
        <f t="shared" si="73"/>
        <v>B2</v>
      </c>
      <c r="CA284" s="3" t="str">
        <f t="shared" si="74"/>
        <v>Och-A-2</v>
      </c>
      <c r="CC284" s="3">
        <v>1.5</v>
      </c>
      <c r="CD284" t="s">
        <v>1336</v>
      </c>
      <c r="CE284" s="21" t="str">
        <f t="shared" si="70"/>
        <v>OcA0501402B</v>
      </c>
      <c r="CF284" s="21" t="str">
        <f t="shared" si="75"/>
        <v>Och-ACan_014-Ex1-2B-lcwgs-1-1</v>
      </c>
      <c r="CG284" s="3">
        <f t="shared" si="82"/>
        <v>0.80604842117436704</v>
      </c>
      <c r="CH284">
        <v>30731747</v>
      </c>
      <c r="CI284">
        <v>21380790</v>
      </c>
      <c r="CJ284" s="3" t="s">
        <v>79</v>
      </c>
      <c r="CK284" s="3">
        <v>17.862994305715638</v>
      </c>
      <c r="CL284" s="3" t="s">
        <v>1612</v>
      </c>
      <c r="CM284" s="33" t="s">
        <v>1703</v>
      </c>
      <c r="CN284" s="3" t="str">
        <f t="shared" si="83"/>
        <v>Och-ACan_014-Ex1-2B-lcwgs-1-2</v>
      </c>
      <c r="CR284"/>
    </row>
    <row r="285" spans="1:96" x14ac:dyDescent="0.55000000000000004">
      <c r="A285" t="s">
        <v>1231</v>
      </c>
      <c r="B285" t="s">
        <v>1232</v>
      </c>
      <c r="C285" s="3">
        <v>1</v>
      </c>
      <c r="E285" t="s">
        <v>1251</v>
      </c>
      <c r="F285">
        <v>3</v>
      </c>
      <c r="G285" t="s">
        <v>92</v>
      </c>
      <c r="H285">
        <v>11.235930190716086</v>
      </c>
      <c r="I285" s="3" t="s">
        <v>74</v>
      </c>
      <c r="J285" s="3">
        <v>0.2</v>
      </c>
      <c r="K285" s="3">
        <v>7.25</v>
      </c>
      <c r="L285" s="3">
        <v>0.33</v>
      </c>
      <c r="O285" s="3">
        <v>100</v>
      </c>
      <c r="P285" s="3">
        <v>8.9000196959773756</v>
      </c>
      <c r="R285" s="3">
        <v>10</v>
      </c>
      <c r="Z285">
        <v>3</v>
      </c>
      <c r="AA285" t="s">
        <v>76</v>
      </c>
      <c r="AB285" t="s">
        <v>1252</v>
      </c>
      <c r="AC285" s="3" t="s">
        <v>78</v>
      </c>
      <c r="AD285" s="3">
        <v>9</v>
      </c>
      <c r="AE285">
        <v>3</v>
      </c>
      <c r="AF285" t="s">
        <v>76</v>
      </c>
      <c r="AG285" t="s">
        <v>700</v>
      </c>
      <c r="AH285" s="17" t="s">
        <v>701</v>
      </c>
      <c r="AI285" s="18" t="s">
        <v>1351</v>
      </c>
      <c r="AJ285" s="18" t="s">
        <v>1352</v>
      </c>
      <c r="AO285" s="3">
        <v>0.71210578594487206</v>
      </c>
      <c r="AP285" s="3">
        <v>37</v>
      </c>
      <c r="AQ285" s="3">
        <f t="shared" si="71"/>
        <v>26.347914079960265</v>
      </c>
      <c r="BE285" s="3" t="s">
        <v>79</v>
      </c>
      <c r="BF285" s="3" t="s">
        <v>1319</v>
      </c>
      <c r="BG285" s="3" t="s">
        <v>186</v>
      </c>
      <c r="BH285" s="3" t="s">
        <v>186</v>
      </c>
      <c r="BI285" s="3" t="s">
        <v>186</v>
      </c>
      <c r="BJ285" s="3" t="s">
        <v>186</v>
      </c>
      <c r="BK285" s="3" t="s">
        <v>186</v>
      </c>
      <c r="BL285" s="3" t="s">
        <v>186</v>
      </c>
      <c r="BM285" s="3" t="s">
        <v>186</v>
      </c>
      <c r="BN285" s="3" t="s">
        <v>186</v>
      </c>
      <c r="BO285" s="3" t="s">
        <v>186</v>
      </c>
      <c r="BP285" s="3" t="s">
        <v>186</v>
      </c>
      <c r="BQ285" s="3" t="s">
        <v>186</v>
      </c>
      <c r="BR285" s="3" t="s">
        <v>186</v>
      </c>
      <c r="BS285" s="3" t="s">
        <v>186</v>
      </c>
      <c r="BT285" s="3" t="s">
        <v>186</v>
      </c>
      <c r="BU285" s="3" t="s">
        <v>186</v>
      </c>
      <c r="BV285" s="3" t="s">
        <v>186</v>
      </c>
      <c r="BW285" s="3" t="s">
        <v>186</v>
      </c>
      <c r="BX285" s="21" t="s">
        <v>1322</v>
      </c>
      <c r="BY285" s="3" t="str">
        <f t="shared" si="72"/>
        <v>Och-ACan_LCWGS-libraries</v>
      </c>
      <c r="BZ285" s="3" t="str">
        <f t="shared" si="73"/>
        <v>B3</v>
      </c>
      <c r="CA285" s="3" t="str">
        <f t="shared" si="74"/>
        <v>Och-A-2</v>
      </c>
      <c r="CC285" s="3">
        <v>1.5</v>
      </c>
      <c r="CD285" t="s">
        <v>1345</v>
      </c>
      <c r="CE285" s="21" t="str">
        <f t="shared" si="70"/>
        <v>OcA0501503B</v>
      </c>
      <c r="CF285" s="21" t="str">
        <f t="shared" si="75"/>
        <v>Och-ACan_015-Ex1-3B-lcwgs-1-1</v>
      </c>
      <c r="CG285" s="3">
        <f t="shared" si="82"/>
        <v>1.5</v>
      </c>
      <c r="CH285">
        <v>5711000</v>
      </c>
      <c r="CI285">
        <v>4024968</v>
      </c>
      <c r="CJ285" s="3" t="s">
        <v>79</v>
      </c>
      <c r="CK285" s="3" t="s">
        <v>1199</v>
      </c>
      <c r="CL285" s="3" t="s">
        <v>1612</v>
      </c>
      <c r="CM285" s="33" t="s">
        <v>1704</v>
      </c>
      <c r="CN285" s="3" t="str">
        <f t="shared" si="83"/>
        <v>Och-ACan_015-Ex1-3B-lcwgs-1-2</v>
      </c>
      <c r="CR285"/>
    </row>
    <row r="286" spans="1:96" x14ac:dyDescent="0.55000000000000004">
      <c r="A286" t="s">
        <v>1233</v>
      </c>
      <c r="B286" t="s">
        <v>1234</v>
      </c>
      <c r="C286" s="3">
        <v>1</v>
      </c>
      <c r="E286" t="s">
        <v>1251</v>
      </c>
      <c r="F286">
        <v>4</v>
      </c>
      <c r="G286" t="s">
        <v>92</v>
      </c>
      <c r="H286">
        <v>8.3012846347607052</v>
      </c>
      <c r="I286" s="3" t="s">
        <v>74</v>
      </c>
      <c r="J286" s="3">
        <v>0.2</v>
      </c>
      <c r="K286" s="3">
        <v>7.25</v>
      </c>
      <c r="L286" s="3">
        <v>0.33</v>
      </c>
      <c r="O286" s="3">
        <v>100</v>
      </c>
      <c r="P286" s="3">
        <v>12.046328297341008</v>
      </c>
      <c r="R286" s="3">
        <v>10</v>
      </c>
      <c r="Z286">
        <v>4</v>
      </c>
      <c r="AA286" t="s">
        <v>76</v>
      </c>
      <c r="AB286" t="s">
        <v>1252</v>
      </c>
      <c r="AC286" s="3" t="s">
        <v>78</v>
      </c>
      <c r="AD286" s="3">
        <v>9</v>
      </c>
      <c r="AE286">
        <v>4</v>
      </c>
      <c r="AF286" t="s">
        <v>76</v>
      </c>
      <c r="AG286" t="s">
        <v>700</v>
      </c>
      <c r="AH286" s="17" t="s">
        <v>701</v>
      </c>
      <c r="AI286" s="18" t="s">
        <v>1353</v>
      </c>
      <c r="AJ286" s="18" t="s">
        <v>1354</v>
      </c>
      <c r="AO286" s="3">
        <v>2.8510057114477281</v>
      </c>
      <c r="AP286" s="3">
        <v>37</v>
      </c>
      <c r="AQ286" s="3">
        <f t="shared" si="71"/>
        <v>105.48721132356594</v>
      </c>
      <c r="BE286" s="3" t="s">
        <v>79</v>
      </c>
      <c r="BF286" s="3" t="s">
        <v>1319</v>
      </c>
      <c r="BG286" s="3" t="s">
        <v>416</v>
      </c>
      <c r="BH286" s="3" t="str">
        <f t="shared" ref="BH286:BH293" si="84">AB286</f>
        <v>Och-ACan_LCWGS-libraries</v>
      </c>
      <c r="BI286" s="3" t="str">
        <f t="shared" ref="BI286:BI293" si="85">AA286&amp;Z286</f>
        <v>B4</v>
      </c>
      <c r="BJ286" s="3" t="str">
        <f t="shared" ref="BJ286:BJ293" si="86">BP286</f>
        <v>Och-TL2-DilutionPlate</v>
      </c>
      <c r="BK286" s="3" t="str">
        <f t="shared" ref="BK286:BK293" si="87">BR286&amp;BQ286</f>
        <v>B3</v>
      </c>
      <c r="BL286" s="3">
        <v>1.5</v>
      </c>
      <c r="BM286" s="3">
        <v>1</v>
      </c>
      <c r="BN286" s="3">
        <f t="shared" ref="BN286:BN293" si="88">AO286*BL286/BM286</f>
        <v>4.2765085671715921</v>
      </c>
      <c r="BO286" s="3">
        <f t="shared" ref="BO286:BO293" si="89">BN286-BL286</f>
        <v>2.7765085671715921</v>
      </c>
      <c r="BP286" s="3" t="s">
        <v>1321</v>
      </c>
      <c r="BQ286">
        <v>3</v>
      </c>
      <c r="BR286" t="s">
        <v>76</v>
      </c>
      <c r="BX286" s="21" t="s">
        <v>1322</v>
      </c>
      <c r="BY286" s="3" t="str">
        <f t="shared" si="72"/>
        <v>Och-TL2-DilutionPlate</v>
      </c>
      <c r="BZ286" s="3" t="str">
        <f t="shared" si="73"/>
        <v>B3</v>
      </c>
      <c r="CA286" s="3" t="str">
        <f t="shared" si="74"/>
        <v>Och-A-2</v>
      </c>
      <c r="CC286" s="3">
        <v>1.5</v>
      </c>
      <c r="CD286" t="s">
        <v>1337</v>
      </c>
      <c r="CE286" s="21" t="str">
        <f t="shared" si="70"/>
        <v>OcA0501604B</v>
      </c>
      <c r="CF286" s="21" t="str">
        <f t="shared" si="75"/>
        <v>Och-ACan_016-Ex1-4B-lcwgs-1-1</v>
      </c>
      <c r="CG286" s="3">
        <f t="shared" si="82"/>
        <v>0.52613012803762738</v>
      </c>
      <c r="CH286">
        <v>29268222</v>
      </c>
      <c r="CI286">
        <v>21062317</v>
      </c>
      <c r="CJ286" s="3" t="s">
        <v>79</v>
      </c>
      <c r="CK286" s="3">
        <v>11.926198632934517</v>
      </c>
      <c r="CL286" s="3" t="s">
        <v>1612</v>
      </c>
      <c r="CM286" s="33" t="s">
        <v>1705</v>
      </c>
      <c r="CN286" s="3" t="str">
        <f t="shared" si="83"/>
        <v>Och-ACan_016-Ex1-4B-lcwgs-1-2</v>
      </c>
      <c r="CR286"/>
    </row>
    <row r="287" spans="1:96" x14ac:dyDescent="0.55000000000000004">
      <c r="A287" t="s">
        <v>1235</v>
      </c>
      <c r="B287" t="s">
        <v>1236</v>
      </c>
      <c r="C287" s="3">
        <v>1</v>
      </c>
      <c r="E287" t="s">
        <v>1251</v>
      </c>
      <c r="F287">
        <v>5</v>
      </c>
      <c r="G287" t="s">
        <v>92</v>
      </c>
      <c r="H287">
        <v>10.909075206908962</v>
      </c>
      <c r="I287" s="3" t="s">
        <v>74</v>
      </c>
      <c r="J287" s="3">
        <v>0.2</v>
      </c>
      <c r="K287" s="3">
        <v>7.25</v>
      </c>
      <c r="L287" s="3">
        <v>0.33</v>
      </c>
      <c r="O287" s="3">
        <v>100</v>
      </c>
      <c r="P287" s="3">
        <v>9.16667986088021</v>
      </c>
      <c r="R287" s="3">
        <v>10</v>
      </c>
      <c r="Z287">
        <v>5</v>
      </c>
      <c r="AA287" t="s">
        <v>76</v>
      </c>
      <c r="AB287" t="s">
        <v>1252</v>
      </c>
      <c r="AC287" s="3" t="s">
        <v>78</v>
      </c>
      <c r="AD287" s="3">
        <v>9</v>
      </c>
      <c r="AE287">
        <v>5</v>
      </c>
      <c r="AF287" t="s">
        <v>76</v>
      </c>
      <c r="AG287" t="s">
        <v>700</v>
      </c>
      <c r="AH287" s="17" t="s">
        <v>701</v>
      </c>
      <c r="AI287" s="18" t="s">
        <v>1355</v>
      </c>
      <c r="AJ287" s="18" t="s">
        <v>1356</v>
      </c>
      <c r="AO287" s="3">
        <v>3.3383536131114977</v>
      </c>
      <c r="AP287" s="3">
        <v>37</v>
      </c>
      <c r="AQ287" s="3">
        <f t="shared" si="71"/>
        <v>123.51908368512541</v>
      </c>
      <c r="BE287" s="3" t="s">
        <v>79</v>
      </c>
      <c r="BF287" s="3" t="s">
        <v>1319</v>
      </c>
      <c r="BG287" s="3" t="s">
        <v>416</v>
      </c>
      <c r="BH287" s="3" t="str">
        <f t="shared" si="84"/>
        <v>Och-ACan_LCWGS-libraries</v>
      </c>
      <c r="BI287" s="3" t="str">
        <f t="shared" si="85"/>
        <v>B5</v>
      </c>
      <c r="BJ287" s="3" t="str">
        <f t="shared" si="86"/>
        <v>Och-TL2-DilutionPlate</v>
      </c>
      <c r="BK287" s="3" t="str">
        <f t="shared" si="87"/>
        <v>B4</v>
      </c>
      <c r="BL287" s="3">
        <v>1.5</v>
      </c>
      <c r="BM287" s="3">
        <v>1</v>
      </c>
      <c r="BN287" s="3">
        <f t="shared" si="88"/>
        <v>5.0075304196672468</v>
      </c>
      <c r="BO287" s="3">
        <f t="shared" si="89"/>
        <v>3.5075304196672468</v>
      </c>
      <c r="BP287" s="3" t="s">
        <v>1321</v>
      </c>
      <c r="BQ287">
        <v>4</v>
      </c>
      <c r="BR287" t="s">
        <v>76</v>
      </c>
      <c r="BX287" s="21" t="s">
        <v>1322</v>
      </c>
      <c r="BY287" s="3" t="str">
        <f t="shared" si="72"/>
        <v>Och-TL2-DilutionPlate</v>
      </c>
      <c r="BZ287" s="3" t="str">
        <f t="shared" si="73"/>
        <v>B4</v>
      </c>
      <c r="CA287" s="3" t="str">
        <f t="shared" si="74"/>
        <v>Och-A-2</v>
      </c>
      <c r="CC287" s="3">
        <v>1.5</v>
      </c>
      <c r="CD287" t="s">
        <v>1338</v>
      </c>
      <c r="CE287" s="21" t="str">
        <f t="shared" si="70"/>
        <v>OcA0501705B</v>
      </c>
      <c r="CF287" s="21" t="str">
        <f t="shared" si="75"/>
        <v>Och-ACan_017-Ex1-5B-lcwgs-1-1</v>
      </c>
      <c r="CG287" s="3">
        <f t="shared" si="82"/>
        <v>0.44932328142492117</v>
      </c>
      <c r="CH287">
        <v>27287072</v>
      </c>
      <c r="CI287">
        <v>19764258</v>
      </c>
      <c r="CJ287" s="3" t="s">
        <v>79</v>
      </c>
      <c r="CK287" s="3">
        <v>11.188786672453048</v>
      </c>
      <c r="CL287" s="3" t="s">
        <v>1612</v>
      </c>
      <c r="CM287" s="33" t="s">
        <v>1706</v>
      </c>
      <c r="CN287" s="3" t="str">
        <f t="shared" si="83"/>
        <v>Och-ACan_017-Ex1-5B-lcwgs-1-2</v>
      </c>
      <c r="CR287"/>
    </row>
    <row r="288" spans="1:96" x14ac:dyDescent="0.55000000000000004">
      <c r="A288" t="s">
        <v>1237</v>
      </c>
      <c r="B288" t="s">
        <v>1238</v>
      </c>
      <c r="C288" s="3">
        <v>1</v>
      </c>
      <c r="E288" t="s">
        <v>1251</v>
      </c>
      <c r="F288">
        <v>6</v>
      </c>
      <c r="G288" t="s">
        <v>92</v>
      </c>
      <c r="H288">
        <v>9.2946887369557416</v>
      </c>
      <c r="I288" s="3" t="s">
        <v>74</v>
      </c>
      <c r="J288" s="3">
        <v>0.2</v>
      </c>
      <c r="K288" s="3">
        <v>7.25</v>
      </c>
      <c r="L288" s="3">
        <v>0.33</v>
      </c>
      <c r="O288" s="3">
        <v>100</v>
      </c>
      <c r="P288" s="3">
        <v>10.7588325795569</v>
      </c>
      <c r="R288" s="3">
        <v>10</v>
      </c>
      <c r="Z288">
        <v>6</v>
      </c>
      <c r="AA288" t="s">
        <v>76</v>
      </c>
      <c r="AB288" t="s">
        <v>1252</v>
      </c>
      <c r="AC288" s="3" t="s">
        <v>78</v>
      </c>
      <c r="AD288" s="3">
        <v>9</v>
      </c>
      <c r="AE288">
        <v>6</v>
      </c>
      <c r="AF288" t="s">
        <v>76</v>
      </c>
      <c r="AG288" t="s">
        <v>700</v>
      </c>
      <c r="AH288" s="17" t="s">
        <v>701</v>
      </c>
      <c r="AI288" s="18" t="s">
        <v>1357</v>
      </c>
      <c r="AJ288" s="18" t="s">
        <v>1358</v>
      </c>
      <c r="AO288" s="3">
        <v>4.7791076897607816</v>
      </c>
      <c r="AP288" s="3">
        <v>37</v>
      </c>
      <c r="AQ288" s="3">
        <f t="shared" si="71"/>
        <v>176.82698452114892</v>
      </c>
      <c r="BE288" s="3" t="s">
        <v>79</v>
      </c>
      <c r="BF288" s="3" t="s">
        <v>1319</v>
      </c>
      <c r="BG288" s="3" t="s">
        <v>416</v>
      </c>
      <c r="BH288" s="3" t="str">
        <f t="shared" si="84"/>
        <v>Och-ACan_LCWGS-libraries</v>
      </c>
      <c r="BI288" s="3" t="str">
        <f t="shared" si="85"/>
        <v>B6</v>
      </c>
      <c r="BJ288" s="3" t="str">
        <f t="shared" si="86"/>
        <v>Och-TL2-DilutionPlate</v>
      </c>
      <c r="BK288" s="3" t="str">
        <f t="shared" si="87"/>
        <v>B5</v>
      </c>
      <c r="BL288" s="3">
        <v>1.5</v>
      </c>
      <c r="BM288" s="3">
        <v>1</v>
      </c>
      <c r="BN288" s="3">
        <f t="shared" si="88"/>
        <v>7.1686615346411724</v>
      </c>
      <c r="BO288" s="3">
        <f t="shared" si="89"/>
        <v>5.6686615346411724</v>
      </c>
      <c r="BP288" s="3" t="s">
        <v>1321</v>
      </c>
      <c r="BQ288">
        <v>5</v>
      </c>
      <c r="BR288" t="s">
        <v>76</v>
      </c>
      <c r="BX288" s="21" t="s">
        <v>1322</v>
      </c>
      <c r="BY288" s="3" t="str">
        <f t="shared" si="72"/>
        <v>Och-TL2-DilutionPlate</v>
      </c>
      <c r="BZ288" s="3" t="str">
        <f t="shared" si="73"/>
        <v>B5</v>
      </c>
      <c r="CA288" s="3" t="str">
        <f t="shared" si="74"/>
        <v>Och-A-2</v>
      </c>
      <c r="CC288" s="3">
        <v>1.5</v>
      </c>
      <c r="CD288" t="s">
        <v>1339</v>
      </c>
      <c r="CE288" s="21" t="str">
        <f t="shared" si="70"/>
        <v>OcA0501806B</v>
      </c>
      <c r="CF288" s="21" t="str">
        <f t="shared" si="75"/>
        <v>Och-ACan_018-Ex1-6B-lcwgs-1-1</v>
      </c>
      <c r="CG288" s="3">
        <f t="shared" si="82"/>
        <v>0.31386612258471258</v>
      </c>
      <c r="CH288">
        <v>28627165</v>
      </c>
      <c r="CI288">
        <v>20174527</v>
      </c>
      <c r="CJ288" s="3" t="s">
        <v>79</v>
      </c>
      <c r="CK288" s="3">
        <v>7.5843795310108568</v>
      </c>
      <c r="CL288" s="3" t="s">
        <v>1612</v>
      </c>
      <c r="CM288" s="33" t="s">
        <v>1707</v>
      </c>
      <c r="CN288" s="3" t="str">
        <f t="shared" si="83"/>
        <v>Och-ACan_018-Ex1-6B-lcwgs-1-2</v>
      </c>
      <c r="CR288"/>
    </row>
    <row r="289" spans="1:96" x14ac:dyDescent="0.55000000000000004">
      <c r="A289" t="s">
        <v>1239</v>
      </c>
      <c r="B289" t="s">
        <v>1240</v>
      </c>
      <c r="C289" s="3">
        <v>1</v>
      </c>
      <c r="E289" t="s">
        <v>1251</v>
      </c>
      <c r="F289">
        <v>7</v>
      </c>
      <c r="G289" t="s">
        <v>92</v>
      </c>
      <c r="H289">
        <v>5.7423461676862182</v>
      </c>
      <c r="I289" s="3" t="s">
        <v>74</v>
      </c>
      <c r="J289" s="3">
        <v>0.2</v>
      </c>
      <c r="K289" s="3">
        <v>7.25</v>
      </c>
      <c r="L289" s="3">
        <v>0.33</v>
      </c>
      <c r="O289" s="3">
        <v>100</v>
      </c>
      <c r="P289" s="3">
        <v>17.414484790681527</v>
      </c>
      <c r="R289" s="3">
        <v>10</v>
      </c>
      <c r="Z289">
        <v>7</v>
      </c>
      <c r="AA289" t="s">
        <v>76</v>
      </c>
      <c r="AB289" t="s">
        <v>1252</v>
      </c>
      <c r="AC289" s="3" t="s">
        <v>78</v>
      </c>
      <c r="AD289" s="3">
        <v>9</v>
      </c>
      <c r="AE289">
        <v>7</v>
      </c>
      <c r="AF289" t="s">
        <v>76</v>
      </c>
      <c r="AG289" t="s">
        <v>700</v>
      </c>
      <c r="AH289" s="17" t="s">
        <v>701</v>
      </c>
      <c r="AI289" s="18" t="s">
        <v>1359</v>
      </c>
      <c r="AJ289" s="18" t="s">
        <v>1360</v>
      </c>
      <c r="AO289" s="3">
        <v>2.3229285655160998</v>
      </c>
      <c r="AP289" s="3">
        <v>37</v>
      </c>
      <c r="AQ289" s="3">
        <f t="shared" si="71"/>
        <v>85.948356924095691</v>
      </c>
      <c r="BE289" s="3" t="s">
        <v>79</v>
      </c>
      <c r="BF289" s="3" t="s">
        <v>1319</v>
      </c>
      <c r="BG289" s="3" t="s">
        <v>416</v>
      </c>
      <c r="BH289" s="3" t="str">
        <f t="shared" si="84"/>
        <v>Och-ACan_LCWGS-libraries</v>
      </c>
      <c r="BI289" s="3" t="str">
        <f t="shared" si="85"/>
        <v>B7</v>
      </c>
      <c r="BJ289" s="3" t="str">
        <f t="shared" si="86"/>
        <v>Och-TL2-DilutionPlate</v>
      </c>
      <c r="BK289" s="3" t="str">
        <f t="shared" si="87"/>
        <v>B6</v>
      </c>
      <c r="BL289" s="3">
        <v>1.5</v>
      </c>
      <c r="BM289" s="3">
        <v>1</v>
      </c>
      <c r="BN289" s="3">
        <f t="shared" si="88"/>
        <v>3.4843928482741497</v>
      </c>
      <c r="BO289" s="3">
        <f t="shared" si="89"/>
        <v>1.9843928482741497</v>
      </c>
      <c r="BP289" s="3" t="s">
        <v>1321</v>
      </c>
      <c r="BQ289">
        <v>6</v>
      </c>
      <c r="BR289" t="s">
        <v>76</v>
      </c>
      <c r="BX289" s="21" t="s">
        <v>1322</v>
      </c>
      <c r="BY289" s="3" t="str">
        <f t="shared" si="72"/>
        <v>Och-TL2-DilutionPlate</v>
      </c>
      <c r="BZ289" s="3" t="str">
        <f t="shared" si="73"/>
        <v>B6</v>
      </c>
      <c r="CA289" s="3" t="str">
        <f t="shared" si="74"/>
        <v>Och-A-2</v>
      </c>
      <c r="CC289" s="3">
        <v>1.5</v>
      </c>
      <c r="CD289" t="s">
        <v>1340</v>
      </c>
      <c r="CE289" s="21" t="str">
        <f t="shared" si="70"/>
        <v>OcA0501907B</v>
      </c>
      <c r="CF289" s="21" t="str">
        <f t="shared" si="75"/>
        <v>Och-ACan_019-Ex1-7B-lcwgs-1-1</v>
      </c>
      <c r="CG289" s="3">
        <f t="shared" si="82"/>
        <v>0.64573660260910148</v>
      </c>
      <c r="CH289">
        <v>29544300</v>
      </c>
      <c r="CI289">
        <v>21797581</v>
      </c>
      <c r="CJ289" s="3" t="s">
        <v>79</v>
      </c>
      <c r="CK289" s="3">
        <v>13.89662908159335</v>
      </c>
      <c r="CL289" s="3" t="s">
        <v>1612</v>
      </c>
      <c r="CM289" s="33" t="s">
        <v>1708</v>
      </c>
      <c r="CN289" s="3" t="str">
        <f t="shared" si="83"/>
        <v>Och-ACan_019-Ex1-7B-lcwgs-1-2</v>
      </c>
      <c r="CR289"/>
    </row>
    <row r="290" spans="1:96" x14ac:dyDescent="0.55000000000000004">
      <c r="A290" t="s">
        <v>1241</v>
      </c>
      <c r="B290" t="s">
        <v>1242</v>
      </c>
      <c r="C290" s="3">
        <v>1</v>
      </c>
      <c r="E290" t="s">
        <v>1251</v>
      </c>
      <c r="F290">
        <v>8</v>
      </c>
      <c r="G290" t="s">
        <v>92</v>
      </c>
      <c r="H290">
        <v>13.498297948902483</v>
      </c>
      <c r="I290" s="3" t="s">
        <v>74</v>
      </c>
      <c r="J290" s="3">
        <v>0.2</v>
      </c>
      <c r="K290" s="3">
        <v>7.25</v>
      </c>
      <c r="L290" s="3">
        <v>0.33</v>
      </c>
      <c r="O290" s="3">
        <v>100</v>
      </c>
      <c r="P290" s="3">
        <v>7.4083414352348607</v>
      </c>
      <c r="R290" s="3">
        <v>10</v>
      </c>
      <c r="Z290">
        <v>8</v>
      </c>
      <c r="AA290" t="s">
        <v>76</v>
      </c>
      <c r="AB290" t="s">
        <v>1252</v>
      </c>
      <c r="AC290" s="3" t="s">
        <v>78</v>
      </c>
      <c r="AD290" s="3">
        <v>9</v>
      </c>
      <c r="AE290">
        <v>8</v>
      </c>
      <c r="AF290" t="s">
        <v>76</v>
      </c>
      <c r="AG290" t="s">
        <v>700</v>
      </c>
      <c r="AH290" s="17" t="s">
        <v>701</v>
      </c>
      <c r="AI290" s="18" t="s">
        <v>1361</v>
      </c>
      <c r="AJ290" s="18" t="s">
        <v>1362</v>
      </c>
      <c r="AO290" s="3">
        <v>1.6016389371740751</v>
      </c>
      <c r="AP290" s="3">
        <v>37</v>
      </c>
      <c r="AQ290" s="3">
        <f t="shared" si="71"/>
        <v>59.260640675440783</v>
      </c>
      <c r="BE290" s="3" t="s">
        <v>79</v>
      </c>
      <c r="BF290" s="3" t="s">
        <v>1319</v>
      </c>
      <c r="BG290" s="3" t="s">
        <v>416</v>
      </c>
      <c r="BH290" s="3" t="str">
        <f t="shared" si="84"/>
        <v>Och-ACan_LCWGS-libraries</v>
      </c>
      <c r="BI290" s="3" t="str">
        <f t="shared" si="85"/>
        <v>B8</v>
      </c>
      <c r="BJ290" s="3" t="str">
        <f t="shared" si="86"/>
        <v>Och-TL2-DilutionPlate</v>
      </c>
      <c r="BK290" s="3" t="str">
        <f t="shared" si="87"/>
        <v>B7</v>
      </c>
      <c r="BL290" s="3">
        <v>1.5</v>
      </c>
      <c r="BM290" s="3">
        <v>1</v>
      </c>
      <c r="BN290" s="3">
        <f t="shared" si="88"/>
        <v>2.4024584057611129</v>
      </c>
      <c r="BO290" s="3">
        <f t="shared" si="89"/>
        <v>0.90245840576111291</v>
      </c>
      <c r="BP290" s="3" t="s">
        <v>1321</v>
      </c>
      <c r="BQ290">
        <v>7</v>
      </c>
      <c r="BR290" t="s">
        <v>76</v>
      </c>
      <c r="BX290" s="21" t="s">
        <v>1322</v>
      </c>
      <c r="BY290" s="3" t="str">
        <f t="shared" si="72"/>
        <v>Och-TL2-DilutionPlate</v>
      </c>
      <c r="BZ290" s="3" t="str">
        <f t="shared" si="73"/>
        <v>B7</v>
      </c>
      <c r="CA290" s="3" t="str">
        <f t="shared" si="74"/>
        <v>Och-A-2</v>
      </c>
      <c r="CC290" s="3">
        <v>1.5</v>
      </c>
      <c r="CD290" t="s">
        <v>1341</v>
      </c>
      <c r="CE290" s="21" t="str">
        <f t="shared" si="70"/>
        <v>OcA0502008B</v>
      </c>
      <c r="CF290" s="21" t="str">
        <f t="shared" si="75"/>
        <v>Och-ACan_020-Ex1-8B-lcwgs-1-1</v>
      </c>
      <c r="CG290" s="3">
        <f t="shared" si="82"/>
        <v>0.93654066792768753</v>
      </c>
      <c r="CH290">
        <v>18782049</v>
      </c>
      <c r="CI290">
        <v>13576845</v>
      </c>
      <c r="CJ290" s="3" t="s">
        <v>79</v>
      </c>
      <c r="CK290" s="3">
        <v>38.790201485066667</v>
      </c>
      <c r="CL290" s="3" t="s">
        <v>1612</v>
      </c>
      <c r="CM290" s="33" t="s">
        <v>1709</v>
      </c>
      <c r="CN290" s="3" t="str">
        <f t="shared" si="83"/>
        <v>Och-ACan_020-Ex1-8B-lcwgs-1-2</v>
      </c>
      <c r="CR290"/>
    </row>
    <row r="291" spans="1:96" x14ac:dyDescent="0.55000000000000004">
      <c r="A291" t="s">
        <v>1243</v>
      </c>
      <c r="B291" t="s">
        <v>1244</v>
      </c>
      <c r="C291" s="3">
        <v>1</v>
      </c>
      <c r="E291" t="s">
        <v>1251</v>
      </c>
      <c r="F291">
        <v>9</v>
      </c>
      <c r="G291" t="s">
        <v>92</v>
      </c>
      <c r="H291">
        <v>10.298305145735878</v>
      </c>
      <c r="I291" s="3" t="s">
        <v>74</v>
      </c>
      <c r="J291" s="3">
        <v>0.2</v>
      </c>
      <c r="K291" s="3">
        <v>7.25</v>
      </c>
      <c r="L291" s="3">
        <v>0.33</v>
      </c>
      <c r="O291" s="3">
        <v>100</v>
      </c>
      <c r="P291" s="3">
        <v>9.7103356896941495</v>
      </c>
      <c r="R291" s="3">
        <v>10</v>
      </c>
      <c r="Z291">
        <v>9</v>
      </c>
      <c r="AA291" t="s">
        <v>76</v>
      </c>
      <c r="AB291" t="s">
        <v>1252</v>
      </c>
      <c r="AC291" s="3" t="s">
        <v>78</v>
      </c>
      <c r="AD291" s="3">
        <v>9</v>
      </c>
      <c r="AE291">
        <v>9</v>
      </c>
      <c r="AF291" t="s">
        <v>76</v>
      </c>
      <c r="AG291" t="s">
        <v>700</v>
      </c>
      <c r="AH291" s="17" t="s">
        <v>701</v>
      </c>
      <c r="AI291" s="18" t="s">
        <v>1363</v>
      </c>
      <c r="AJ291" s="18" t="s">
        <v>1364</v>
      </c>
      <c r="AO291" s="3">
        <v>1.5355392765499545</v>
      </c>
      <c r="AP291" s="3">
        <v>37</v>
      </c>
      <c r="AQ291" s="3">
        <f t="shared" si="71"/>
        <v>56.814953232348316</v>
      </c>
      <c r="BE291" s="3" t="s">
        <v>79</v>
      </c>
      <c r="BF291" s="3" t="s">
        <v>1319</v>
      </c>
      <c r="BG291" s="3" t="s">
        <v>416</v>
      </c>
      <c r="BH291" s="3" t="str">
        <f t="shared" si="84"/>
        <v>Och-ACan_LCWGS-libraries</v>
      </c>
      <c r="BI291" s="3" t="str">
        <f t="shared" si="85"/>
        <v>B9</v>
      </c>
      <c r="BJ291" s="3" t="str">
        <f t="shared" si="86"/>
        <v>Och-TL2-DilutionPlate</v>
      </c>
      <c r="BK291" s="3" t="str">
        <f t="shared" si="87"/>
        <v>B8</v>
      </c>
      <c r="BL291" s="3">
        <v>1.5</v>
      </c>
      <c r="BM291" s="3">
        <v>1</v>
      </c>
      <c r="BN291" s="3">
        <f t="shared" si="88"/>
        <v>2.3033089148249317</v>
      </c>
      <c r="BO291" s="3">
        <f t="shared" si="89"/>
        <v>0.80330891482493172</v>
      </c>
      <c r="BP291" s="3" t="s">
        <v>1321</v>
      </c>
      <c r="BQ291">
        <v>8</v>
      </c>
      <c r="BR291" t="s">
        <v>76</v>
      </c>
      <c r="BX291" s="21" t="s">
        <v>1322</v>
      </c>
      <c r="BY291" s="3" t="str">
        <f t="shared" si="72"/>
        <v>Och-TL2-DilutionPlate</v>
      </c>
      <c r="BZ291" s="3" t="str">
        <f t="shared" si="73"/>
        <v>B8</v>
      </c>
      <c r="CA291" s="3" t="str">
        <f t="shared" si="74"/>
        <v>Och-A-2</v>
      </c>
      <c r="CC291" s="3">
        <v>1.5</v>
      </c>
      <c r="CD291" t="s">
        <v>1342</v>
      </c>
      <c r="CE291" s="21" t="str">
        <f t="shared" si="70"/>
        <v>OcA0502109B</v>
      </c>
      <c r="CF291" s="21" t="str">
        <f t="shared" si="75"/>
        <v>Och-ACan_021-Ex1-9B-lcwgs-1-1</v>
      </c>
      <c r="CG291" s="3">
        <f t="shared" si="82"/>
        <v>0.97685550796863752</v>
      </c>
      <c r="CH291">
        <v>24543901</v>
      </c>
      <c r="CI291">
        <v>17524164</v>
      </c>
      <c r="CJ291" s="3" t="s">
        <v>79</v>
      </c>
      <c r="CK291" s="3">
        <v>28.850778291223168</v>
      </c>
      <c r="CL291" s="3" t="s">
        <v>1612</v>
      </c>
      <c r="CM291" s="33" t="s">
        <v>1710</v>
      </c>
      <c r="CN291" s="3" t="str">
        <f t="shared" si="83"/>
        <v>Och-ACan_021-Ex1-9B-lcwgs-1-2</v>
      </c>
      <c r="CR291"/>
    </row>
    <row r="292" spans="1:96" x14ac:dyDescent="0.55000000000000004">
      <c r="A292" t="s">
        <v>1245</v>
      </c>
      <c r="B292" t="s">
        <v>1246</v>
      </c>
      <c r="C292" s="3">
        <v>1</v>
      </c>
      <c r="E292" t="s">
        <v>1251</v>
      </c>
      <c r="F292">
        <v>10</v>
      </c>
      <c r="G292" t="s">
        <v>92</v>
      </c>
      <c r="H292">
        <v>9.363378913278158</v>
      </c>
      <c r="I292" s="3" t="s">
        <v>74</v>
      </c>
      <c r="J292" s="3">
        <v>0.2</v>
      </c>
      <c r="K292" s="3">
        <v>7.25</v>
      </c>
      <c r="L292" s="3">
        <v>0.33</v>
      </c>
      <c r="O292" s="3">
        <v>100</v>
      </c>
      <c r="P292" s="3">
        <v>10.679905291260885</v>
      </c>
      <c r="R292" s="3">
        <v>10</v>
      </c>
      <c r="Z292">
        <v>10</v>
      </c>
      <c r="AA292" t="s">
        <v>76</v>
      </c>
      <c r="AB292" t="s">
        <v>1252</v>
      </c>
      <c r="AC292" s="3" t="s">
        <v>78</v>
      </c>
      <c r="AD292" s="3">
        <v>9</v>
      </c>
      <c r="AE292">
        <v>10</v>
      </c>
      <c r="AF292" t="s">
        <v>76</v>
      </c>
      <c r="AG292" t="s">
        <v>700</v>
      </c>
      <c r="AH292" s="17" t="s">
        <v>701</v>
      </c>
      <c r="AI292" s="18" t="s">
        <v>1365</v>
      </c>
      <c r="AJ292" s="18" t="s">
        <v>1366</v>
      </c>
      <c r="AO292" s="3">
        <v>2.7995944044367187</v>
      </c>
      <c r="AP292" s="3">
        <v>37</v>
      </c>
      <c r="AQ292" s="3">
        <f t="shared" si="71"/>
        <v>103.58499296415859</v>
      </c>
      <c r="BE292" s="3" t="s">
        <v>79</v>
      </c>
      <c r="BF292" s="3" t="s">
        <v>1319</v>
      </c>
      <c r="BG292" s="3" t="s">
        <v>416</v>
      </c>
      <c r="BH292" s="3" t="str">
        <f t="shared" si="84"/>
        <v>Och-ACan_LCWGS-libraries</v>
      </c>
      <c r="BI292" s="3" t="str">
        <f t="shared" si="85"/>
        <v>B10</v>
      </c>
      <c r="BJ292" s="3" t="str">
        <f t="shared" si="86"/>
        <v>Och-TL2-DilutionPlate</v>
      </c>
      <c r="BK292" s="3" t="str">
        <f t="shared" si="87"/>
        <v>B9</v>
      </c>
      <c r="BL292" s="3">
        <v>1.5</v>
      </c>
      <c r="BM292" s="3">
        <v>1</v>
      </c>
      <c r="BN292" s="3">
        <f t="shared" si="88"/>
        <v>4.1993916066550785</v>
      </c>
      <c r="BO292" s="3">
        <f t="shared" si="89"/>
        <v>2.6993916066550785</v>
      </c>
      <c r="BP292" s="3" t="s">
        <v>1321</v>
      </c>
      <c r="BQ292">
        <v>9</v>
      </c>
      <c r="BR292" t="s">
        <v>76</v>
      </c>
      <c r="BX292" s="21" t="s">
        <v>1322</v>
      </c>
      <c r="BY292" s="3" t="str">
        <f t="shared" si="72"/>
        <v>Och-TL2-DilutionPlate</v>
      </c>
      <c r="BZ292" s="3" t="str">
        <f t="shared" si="73"/>
        <v>B9</v>
      </c>
      <c r="CA292" s="3" t="str">
        <f t="shared" si="74"/>
        <v>Och-A-2</v>
      </c>
      <c r="CC292" s="3">
        <v>1.5</v>
      </c>
      <c r="CD292" t="s">
        <v>1343</v>
      </c>
      <c r="CE292" s="21" t="str">
        <f t="shared" si="70"/>
        <v>OcA0502210B</v>
      </c>
      <c r="CF292" s="21" t="str">
        <f t="shared" si="75"/>
        <v>Och-ACan_022-Ex1-10B-lcwgs-1-1</v>
      </c>
      <c r="CG292" s="3">
        <f t="shared" si="82"/>
        <v>0.53579189814883255</v>
      </c>
      <c r="CH292">
        <v>20850616</v>
      </c>
      <c r="CI292">
        <v>15988706</v>
      </c>
      <c r="CJ292" s="3" t="s">
        <v>79</v>
      </c>
      <c r="CK292" s="3">
        <v>17.927501580398808</v>
      </c>
      <c r="CL292" s="3" t="s">
        <v>1612</v>
      </c>
      <c r="CM292" s="33" t="s">
        <v>1711</v>
      </c>
      <c r="CN292" s="3" t="str">
        <f t="shared" si="83"/>
        <v>Och-ACan_022-Ex1-10B-lcwgs-1-2</v>
      </c>
      <c r="CR292"/>
    </row>
    <row r="293" spans="1:96" x14ac:dyDescent="0.55000000000000004">
      <c r="A293" t="s">
        <v>1247</v>
      </c>
      <c r="B293" t="s">
        <v>1248</v>
      </c>
      <c r="C293" s="3">
        <v>1</v>
      </c>
      <c r="E293" t="s">
        <v>1251</v>
      </c>
      <c r="F293">
        <v>11</v>
      </c>
      <c r="G293" t="s">
        <v>92</v>
      </c>
      <c r="H293">
        <v>8.9418891687657442</v>
      </c>
      <c r="I293" s="3" t="s">
        <v>74</v>
      </c>
      <c r="J293" s="3">
        <v>0.2</v>
      </c>
      <c r="K293" s="3">
        <v>7.25</v>
      </c>
      <c r="L293" s="3">
        <v>0.33</v>
      </c>
      <c r="O293" s="3">
        <v>100</v>
      </c>
      <c r="P293" s="3">
        <v>11.183319107700713</v>
      </c>
      <c r="R293" s="3">
        <v>10</v>
      </c>
      <c r="Z293">
        <v>11</v>
      </c>
      <c r="AA293" t="s">
        <v>76</v>
      </c>
      <c r="AB293" t="s">
        <v>1252</v>
      </c>
      <c r="AC293" s="3" t="s">
        <v>78</v>
      </c>
      <c r="AD293" s="3">
        <v>9</v>
      </c>
      <c r="AE293">
        <v>11</v>
      </c>
      <c r="AF293" t="s">
        <v>76</v>
      </c>
      <c r="AG293" t="s">
        <v>700</v>
      </c>
      <c r="AH293" s="17" t="s">
        <v>701</v>
      </c>
      <c r="AI293" s="18" t="s">
        <v>1367</v>
      </c>
      <c r="AJ293" s="18" t="s">
        <v>1368</v>
      </c>
      <c r="AO293" s="3">
        <v>1.3566633556824765</v>
      </c>
      <c r="AP293" s="3">
        <v>37</v>
      </c>
      <c r="AQ293" s="3">
        <f t="shared" si="71"/>
        <v>50.196544160251634</v>
      </c>
      <c r="BE293" s="3" t="s">
        <v>79</v>
      </c>
      <c r="BF293" s="3" t="s">
        <v>1319</v>
      </c>
      <c r="BG293" s="3" t="s">
        <v>416</v>
      </c>
      <c r="BH293" s="3" t="str">
        <f t="shared" si="84"/>
        <v>Och-ACan_LCWGS-libraries</v>
      </c>
      <c r="BI293" s="3" t="str">
        <f t="shared" si="85"/>
        <v>B11</v>
      </c>
      <c r="BJ293" s="3" t="str">
        <f t="shared" si="86"/>
        <v>Och-TL2-DilutionPlate</v>
      </c>
      <c r="BK293" s="3" t="str">
        <f t="shared" si="87"/>
        <v>B10</v>
      </c>
      <c r="BL293" s="3">
        <v>1.5</v>
      </c>
      <c r="BM293" s="3">
        <v>1</v>
      </c>
      <c r="BN293" s="3">
        <f t="shared" si="88"/>
        <v>2.0349950335237148</v>
      </c>
      <c r="BO293" s="3">
        <f t="shared" si="89"/>
        <v>0.5349950335237148</v>
      </c>
      <c r="BP293" s="3" t="s">
        <v>1321</v>
      </c>
      <c r="BQ293">
        <v>10</v>
      </c>
      <c r="BR293" t="s">
        <v>76</v>
      </c>
      <c r="BX293" s="21" t="s">
        <v>1322</v>
      </c>
      <c r="BY293" s="3" t="str">
        <f t="shared" si="72"/>
        <v>Och-TL2-DilutionPlate</v>
      </c>
      <c r="BZ293" s="3" t="str">
        <f t="shared" si="73"/>
        <v>B10</v>
      </c>
      <c r="CA293" s="3" t="str">
        <f t="shared" si="74"/>
        <v>Och-A-2</v>
      </c>
      <c r="CC293" s="3">
        <v>1.5</v>
      </c>
      <c r="CD293" t="s">
        <v>1344</v>
      </c>
      <c r="CE293" s="21" t="str">
        <f t="shared" si="70"/>
        <v>OcA0502311B</v>
      </c>
      <c r="CF293" s="21" t="str">
        <f t="shared" si="75"/>
        <v>Och-ACan_023-Ex1-11B-lcwgs-1-1</v>
      </c>
      <c r="CG293" s="3">
        <f t="shared" si="82"/>
        <v>1.1056538040311534</v>
      </c>
      <c r="CH293">
        <v>8910554</v>
      </c>
      <c r="CI293">
        <v>7051531</v>
      </c>
      <c r="CJ293" s="3" t="s">
        <v>79</v>
      </c>
      <c r="CK293" s="3" t="s">
        <v>1199</v>
      </c>
      <c r="CL293" s="3" t="s">
        <v>1612</v>
      </c>
      <c r="CM293" s="33" t="s">
        <v>1712</v>
      </c>
      <c r="CN293" s="3" t="str">
        <f t="shared" si="83"/>
        <v>Och-ACan_023-Ex1-11B-lcwgs-1-2</v>
      </c>
      <c r="CR293"/>
    </row>
    <row r="294" spans="1:96" x14ac:dyDescent="0.55000000000000004">
      <c r="A294" t="s">
        <v>1249</v>
      </c>
      <c r="B294" t="s">
        <v>1250</v>
      </c>
      <c r="C294" s="3">
        <v>1</v>
      </c>
      <c r="E294" t="s">
        <v>1251</v>
      </c>
      <c r="F294">
        <v>12</v>
      </c>
      <c r="G294" t="s">
        <v>92</v>
      </c>
      <c r="H294">
        <v>8.9698524649154372</v>
      </c>
      <c r="I294" s="3" t="s">
        <v>74</v>
      </c>
      <c r="J294" s="3">
        <v>0.2</v>
      </c>
      <c r="K294" s="3">
        <v>7.25</v>
      </c>
      <c r="L294" s="3">
        <v>0.33</v>
      </c>
      <c r="O294" s="3">
        <v>100</v>
      </c>
      <c r="P294" s="3">
        <v>11.148455383311898</v>
      </c>
      <c r="R294" s="3">
        <v>10</v>
      </c>
      <c r="Z294">
        <v>12</v>
      </c>
      <c r="AA294" t="s">
        <v>76</v>
      </c>
      <c r="AB294" t="s">
        <v>1252</v>
      </c>
      <c r="AC294" s="3" t="s">
        <v>78</v>
      </c>
      <c r="AD294" s="3">
        <v>9</v>
      </c>
      <c r="AE294">
        <v>12</v>
      </c>
      <c r="AF294" t="s">
        <v>76</v>
      </c>
      <c r="AG294" t="s">
        <v>700</v>
      </c>
      <c r="AH294" s="17" t="s">
        <v>701</v>
      </c>
      <c r="AI294" s="18" t="s">
        <v>1369</v>
      </c>
      <c r="AJ294" s="18" t="s">
        <v>1370</v>
      </c>
      <c r="AO294" s="3">
        <v>0.93010098501779659</v>
      </c>
      <c r="AP294" s="3">
        <v>37</v>
      </c>
      <c r="AQ294" s="3">
        <f t="shared" si="71"/>
        <v>34.413736445658472</v>
      </c>
      <c r="BE294" s="3" t="s">
        <v>79</v>
      </c>
      <c r="BF294" s="3" t="s">
        <v>1319</v>
      </c>
      <c r="BG294" s="3" t="s">
        <v>186</v>
      </c>
      <c r="BH294" s="3" t="s">
        <v>186</v>
      </c>
      <c r="BI294" s="3" t="s">
        <v>186</v>
      </c>
      <c r="BJ294" s="3" t="s">
        <v>186</v>
      </c>
      <c r="BK294" s="3" t="s">
        <v>186</v>
      </c>
      <c r="BL294" s="3" t="s">
        <v>186</v>
      </c>
      <c r="BM294" s="3" t="s">
        <v>186</v>
      </c>
      <c r="BN294" s="3" t="s">
        <v>186</v>
      </c>
      <c r="BO294" s="3" t="s">
        <v>186</v>
      </c>
      <c r="BP294" s="3" t="s">
        <v>186</v>
      </c>
      <c r="BQ294" s="3" t="s">
        <v>186</v>
      </c>
      <c r="BR294" s="3" t="s">
        <v>186</v>
      </c>
      <c r="BS294" s="3" t="s">
        <v>186</v>
      </c>
      <c r="BT294" s="3" t="s">
        <v>186</v>
      </c>
      <c r="BU294" s="3" t="s">
        <v>186</v>
      </c>
      <c r="BV294" s="3" t="s">
        <v>186</v>
      </c>
      <c r="BW294" s="3" t="s">
        <v>186</v>
      </c>
      <c r="BX294" s="21" t="s">
        <v>1322</v>
      </c>
      <c r="BY294" s="3" t="str">
        <f t="shared" si="72"/>
        <v>Och-ACan_LCWGS-libraries</v>
      </c>
      <c r="BZ294" s="3" t="str">
        <f t="shared" si="73"/>
        <v>B12</v>
      </c>
      <c r="CA294" s="3" t="str">
        <f t="shared" si="74"/>
        <v>Och-A-2</v>
      </c>
      <c r="CC294" s="3">
        <v>1.5</v>
      </c>
      <c r="CD294" t="s">
        <v>1346</v>
      </c>
      <c r="CE294" s="21" t="str">
        <f t="shared" si="70"/>
        <v>OcA0502412B</v>
      </c>
      <c r="CF294" s="21" t="str">
        <f t="shared" si="75"/>
        <v>Och-ACan_024-Ex1-12B-lcwgs-1-1</v>
      </c>
      <c r="CG294" s="3">
        <f t="shared" si="82"/>
        <v>1.5</v>
      </c>
      <c r="CH294">
        <v>1985681</v>
      </c>
      <c r="CI294">
        <v>1554114</v>
      </c>
      <c r="CJ294" s="3" t="s">
        <v>79</v>
      </c>
      <c r="CK294" s="3" t="s">
        <v>1199</v>
      </c>
      <c r="CL294" s="3" t="s">
        <v>1612</v>
      </c>
      <c r="CM294" s="33" t="s">
        <v>1713</v>
      </c>
      <c r="CN294" s="3" t="str">
        <f t="shared" si="83"/>
        <v>Och-ACan_024-Ex1-12B-lcwgs-1-2</v>
      </c>
      <c r="CR294"/>
    </row>
    <row r="295" spans="1:96" x14ac:dyDescent="0.55000000000000004">
      <c r="A295" s="10" t="s">
        <v>1253</v>
      </c>
      <c r="B295" t="str">
        <f t="shared" ref="B295:B326" si="90">A295&amp;"_Ex1"</f>
        <v>Och-CBur_013_Ex1</v>
      </c>
      <c r="C295" s="3">
        <v>1</v>
      </c>
      <c r="E295" s="3" t="s">
        <v>1317</v>
      </c>
      <c r="F295" s="3">
        <v>1</v>
      </c>
      <c r="G295" s="3" t="s">
        <v>76</v>
      </c>
      <c r="H295">
        <v>6.3652835014921134</v>
      </c>
      <c r="I295" s="3" t="s">
        <v>74</v>
      </c>
      <c r="J295" s="3">
        <v>0.1</v>
      </c>
      <c r="K295" s="3">
        <v>7.25</v>
      </c>
      <c r="L295" s="3">
        <v>0.33</v>
      </c>
      <c r="O295" s="3">
        <v>100</v>
      </c>
      <c r="P295" s="3">
        <v>15.710219344756377</v>
      </c>
      <c r="R295" s="3">
        <v>10</v>
      </c>
      <c r="Z295">
        <v>1</v>
      </c>
      <c r="AA295" t="s">
        <v>73</v>
      </c>
      <c r="AB295" t="s">
        <v>1318</v>
      </c>
      <c r="AC295" s="3" t="s">
        <v>78</v>
      </c>
      <c r="AD295" s="3">
        <v>8</v>
      </c>
      <c r="AE295">
        <v>1</v>
      </c>
      <c r="AF295" t="s">
        <v>73</v>
      </c>
      <c r="AG295" t="s">
        <v>652</v>
      </c>
      <c r="AH295" s="17" t="s">
        <v>653</v>
      </c>
      <c r="AI295" t="s">
        <v>616</v>
      </c>
      <c r="AJ295" s="18" t="s">
        <v>617</v>
      </c>
      <c r="AO295" s="3">
        <v>10.480235750804772</v>
      </c>
      <c r="AP295" s="3">
        <v>36</v>
      </c>
      <c r="AQ295" s="3">
        <f t="shared" si="71"/>
        <v>377.28848702897176</v>
      </c>
      <c r="BE295" s="3" t="s">
        <v>79</v>
      </c>
      <c r="BF295" s="3" t="s">
        <v>1320</v>
      </c>
      <c r="BG295" s="3" t="s">
        <v>416</v>
      </c>
      <c r="BH295" s="3" t="str">
        <f>AB295</f>
        <v>Och-CBur_LCWGS-libraries</v>
      </c>
      <c r="BI295" s="3" t="str">
        <f>AA295&amp;Z295</f>
        <v>A1</v>
      </c>
      <c r="BJ295" s="3" t="str">
        <f>BP295</f>
        <v>Och-TL2-DilutionPlate</v>
      </c>
      <c r="BK295" s="3" t="str">
        <f>BR295&amp;BQ295</f>
        <v>C1</v>
      </c>
      <c r="BL295" s="3">
        <v>1.5</v>
      </c>
      <c r="BM295" s="3">
        <v>2</v>
      </c>
      <c r="BN295" s="3">
        <f>AO295*BL295/BM295</f>
        <v>7.8601768131035783</v>
      </c>
      <c r="BO295" s="3">
        <f>BN295-BL295</f>
        <v>6.3601768131035783</v>
      </c>
      <c r="BP295" s="3" t="s">
        <v>1321</v>
      </c>
      <c r="BQ295">
        <v>1</v>
      </c>
      <c r="BR295" s="3" t="s">
        <v>83</v>
      </c>
      <c r="BX295" s="21" t="s">
        <v>1322</v>
      </c>
      <c r="BY295" s="3" t="str">
        <f t="shared" si="72"/>
        <v>Och-TL2-DilutionPlate</v>
      </c>
      <c r="BZ295" s="3" t="str">
        <f t="shared" si="73"/>
        <v>C1</v>
      </c>
      <c r="CA295" s="3" t="str">
        <f t="shared" si="74"/>
        <v>Och-C-2</v>
      </c>
      <c r="CC295" s="3">
        <v>1.5</v>
      </c>
      <c r="CD295" s="10" t="s">
        <v>1371</v>
      </c>
      <c r="CE295" s="21" t="str">
        <f t="shared" si="70"/>
        <v>OcC0101301A</v>
      </c>
      <c r="CF295" s="21" t="str">
        <f t="shared" si="75"/>
        <v>Och-CBur_013_Ex1-1A-lcwgs-1-1</v>
      </c>
      <c r="CG295" s="3">
        <f t="shared" si="82"/>
        <v>0.28625310263365322</v>
      </c>
      <c r="CH295">
        <v>14120906</v>
      </c>
      <c r="CI295">
        <v>11530364</v>
      </c>
      <c r="CJ295" s="27" t="s">
        <v>79</v>
      </c>
      <c r="CK295" s="3">
        <v>5.1785306513093126</v>
      </c>
      <c r="CL295" s="3" t="s">
        <v>1611</v>
      </c>
      <c r="CM295" s="33" t="s">
        <v>1714</v>
      </c>
      <c r="CN295" s="3" t="str">
        <f t="shared" si="83"/>
        <v>Och-CBur_013_Ex1-1A-lcwgs-1-2</v>
      </c>
      <c r="CR295"/>
    </row>
    <row r="296" spans="1:96" x14ac:dyDescent="0.55000000000000004">
      <c r="A296" s="10" t="s">
        <v>1259</v>
      </c>
      <c r="B296" t="str">
        <f t="shared" si="90"/>
        <v>Och-CBur_014_Ex1</v>
      </c>
      <c r="C296" s="3">
        <v>1</v>
      </c>
      <c r="E296" s="3" t="s">
        <v>1317</v>
      </c>
      <c r="F296" s="3">
        <v>2</v>
      </c>
      <c r="G296" s="3" t="s">
        <v>76</v>
      </c>
      <c r="H296">
        <v>4.6127859883473068</v>
      </c>
      <c r="I296" s="3" t="s">
        <v>74</v>
      </c>
      <c r="J296" s="3">
        <v>0.1</v>
      </c>
      <c r="K296" s="3">
        <v>7.25</v>
      </c>
      <c r="L296" s="3">
        <v>0.33</v>
      </c>
      <c r="O296" s="3">
        <v>100</v>
      </c>
      <c r="P296" s="3">
        <v>21.678872649331066</v>
      </c>
      <c r="R296" s="3">
        <v>10</v>
      </c>
      <c r="Z296">
        <v>1</v>
      </c>
      <c r="AA296" t="s">
        <v>91</v>
      </c>
      <c r="AB296" t="s">
        <v>1318</v>
      </c>
      <c r="AC296" s="3" t="s">
        <v>78</v>
      </c>
      <c r="AD296" s="3">
        <v>8</v>
      </c>
      <c r="AE296">
        <v>1</v>
      </c>
      <c r="AF296" t="s">
        <v>91</v>
      </c>
      <c r="AG296" t="s">
        <v>666</v>
      </c>
      <c r="AH296" s="17" t="s">
        <v>667</v>
      </c>
      <c r="AI296" t="s">
        <v>616</v>
      </c>
      <c r="AJ296" s="18" t="s">
        <v>617</v>
      </c>
      <c r="AO296" s="3">
        <v>0.31001704222685095</v>
      </c>
      <c r="AP296" s="3">
        <v>36</v>
      </c>
      <c r="AQ296" s="3">
        <f t="shared" si="71"/>
        <v>11.160613520166635</v>
      </c>
      <c r="BE296" s="3" t="s">
        <v>79</v>
      </c>
      <c r="BF296" s="3" t="s">
        <v>1320</v>
      </c>
      <c r="BG296" s="3" t="s">
        <v>186</v>
      </c>
      <c r="BH296" s="3" t="s">
        <v>186</v>
      </c>
      <c r="BI296" s="3" t="s">
        <v>186</v>
      </c>
      <c r="BJ296" s="3" t="s">
        <v>186</v>
      </c>
      <c r="BK296" s="3" t="s">
        <v>186</v>
      </c>
      <c r="BL296" s="3" t="s">
        <v>186</v>
      </c>
      <c r="BM296" s="3" t="s">
        <v>186</v>
      </c>
      <c r="BN296" s="3" t="s">
        <v>186</v>
      </c>
      <c r="BO296" s="3" t="s">
        <v>186</v>
      </c>
      <c r="BP296" s="3" t="s">
        <v>186</v>
      </c>
      <c r="BQ296" s="3" t="s">
        <v>186</v>
      </c>
      <c r="BR296" s="3" t="s">
        <v>186</v>
      </c>
      <c r="BS296" s="3" t="s">
        <v>186</v>
      </c>
      <c r="BT296" s="3" t="s">
        <v>186</v>
      </c>
      <c r="BU296" s="3" t="s">
        <v>186</v>
      </c>
      <c r="BV296" s="3" t="s">
        <v>186</v>
      </c>
      <c r="BW296" s="3" t="s">
        <v>186</v>
      </c>
      <c r="BX296" s="21" t="s">
        <v>1322</v>
      </c>
      <c r="BY296" s="3" t="str">
        <f t="shared" si="72"/>
        <v>Och-CBur_LCWGS-libraries</v>
      </c>
      <c r="BZ296" s="3" t="str">
        <f t="shared" si="73"/>
        <v>G1</v>
      </c>
      <c r="CA296" s="3" t="str">
        <f t="shared" si="74"/>
        <v>Och-C-2</v>
      </c>
      <c r="CC296" s="3">
        <v>1.5</v>
      </c>
      <c r="CD296" s="10" t="s">
        <v>1377</v>
      </c>
      <c r="CE296" s="21" t="str">
        <f t="shared" si="70"/>
        <v>OcC0101401G</v>
      </c>
      <c r="CF296" s="21" t="str">
        <f t="shared" si="75"/>
        <v>Och-CBur_014_Ex1-1G-lcwgs-1-1</v>
      </c>
      <c r="CG296" s="3">
        <f t="shared" si="82"/>
        <v>1.5</v>
      </c>
      <c r="CH296">
        <v>240773</v>
      </c>
      <c r="CI296">
        <v>206540</v>
      </c>
      <c r="CJ296" s="27" t="s">
        <v>185</v>
      </c>
      <c r="CK296" s="3">
        <v>0</v>
      </c>
      <c r="CM296" s="33"/>
    </row>
    <row r="297" spans="1:96" x14ac:dyDescent="0.55000000000000004">
      <c r="A297" s="10" t="s">
        <v>1265</v>
      </c>
      <c r="B297" t="str">
        <f t="shared" si="90"/>
        <v>Och-CBur_015_Ex1</v>
      </c>
      <c r="C297" s="3">
        <v>1</v>
      </c>
      <c r="E297" s="3" t="s">
        <v>1317</v>
      </c>
      <c r="F297" s="3">
        <v>3</v>
      </c>
      <c r="G297" s="3" t="s">
        <v>76</v>
      </c>
      <c r="H297">
        <v>3.6988667045616026</v>
      </c>
      <c r="I297" s="3" t="s">
        <v>74</v>
      </c>
      <c r="J297" s="3">
        <v>0.1</v>
      </c>
      <c r="K297" s="3">
        <v>7.25</v>
      </c>
      <c r="L297" s="3">
        <v>0.33</v>
      </c>
      <c r="O297" s="3">
        <v>100</v>
      </c>
      <c r="P297" s="3">
        <v>27.035307835417715</v>
      </c>
      <c r="R297" s="3">
        <v>10</v>
      </c>
      <c r="Z297">
        <v>2</v>
      </c>
      <c r="AA297" t="s">
        <v>87</v>
      </c>
      <c r="AB297" t="s">
        <v>1318</v>
      </c>
      <c r="AC297" s="3" t="s">
        <v>78</v>
      </c>
      <c r="AD297" s="3">
        <v>8</v>
      </c>
      <c r="AE297">
        <v>2</v>
      </c>
      <c r="AF297" t="s">
        <v>87</v>
      </c>
      <c r="AG297" t="s">
        <v>662</v>
      </c>
      <c r="AH297" s="17" t="s">
        <v>663</v>
      </c>
      <c r="AI297" t="s">
        <v>618</v>
      </c>
      <c r="AJ297" s="18" t="s">
        <v>619</v>
      </c>
      <c r="AO297" s="3">
        <v>13.133776746828254</v>
      </c>
      <c r="AP297" s="3">
        <v>36</v>
      </c>
      <c r="AQ297" s="3">
        <f t="shared" si="71"/>
        <v>472.81596288581716</v>
      </c>
      <c r="BE297" s="3" t="s">
        <v>79</v>
      </c>
      <c r="BF297" s="3" t="s">
        <v>1320</v>
      </c>
      <c r="BG297" s="3" t="s">
        <v>416</v>
      </c>
      <c r="BH297" s="3" t="str">
        <f t="shared" ref="BH297:BH303" si="91">AB297</f>
        <v>Och-CBur_LCWGS-libraries</v>
      </c>
      <c r="BI297" s="3" t="str">
        <f t="shared" ref="BI297:BI303" si="92">AA297&amp;Z297</f>
        <v>E2</v>
      </c>
      <c r="BJ297" s="3" t="str">
        <f t="shared" ref="BJ297:BJ303" si="93">BP297</f>
        <v>Och-TL2-DilutionPlate</v>
      </c>
      <c r="BK297" s="3" t="str">
        <f t="shared" ref="BK297:BK303" si="94">BR297&amp;BQ297</f>
        <v>E5</v>
      </c>
      <c r="BL297" s="3">
        <v>1.5</v>
      </c>
      <c r="BM297" s="3">
        <v>2</v>
      </c>
      <c r="BN297" s="3">
        <f t="shared" ref="BN297:BN303" si="95">AO297*BL297/BM297</f>
        <v>9.8503325601211902</v>
      </c>
      <c r="BO297" s="3">
        <f t="shared" ref="BO297:BO303" si="96">BN297-BL297</f>
        <v>8.3503325601211902</v>
      </c>
      <c r="BP297" s="3" t="s">
        <v>1321</v>
      </c>
      <c r="BQ297">
        <v>5</v>
      </c>
      <c r="BR297" s="3" t="s">
        <v>87</v>
      </c>
      <c r="BX297" s="21" t="s">
        <v>1322</v>
      </c>
      <c r="BY297" s="3" t="str">
        <f t="shared" si="72"/>
        <v>Och-TL2-DilutionPlate</v>
      </c>
      <c r="BZ297" s="3" t="str">
        <f t="shared" si="73"/>
        <v>E5</v>
      </c>
      <c r="CA297" s="3" t="str">
        <f t="shared" si="74"/>
        <v>Och-C-2</v>
      </c>
      <c r="CC297" s="3">
        <v>1.5</v>
      </c>
      <c r="CD297" s="10" t="s">
        <v>1383</v>
      </c>
      <c r="CE297" s="21" t="str">
        <f t="shared" si="70"/>
        <v>OcC0101502E</v>
      </c>
      <c r="CF297" s="21" t="str">
        <f t="shared" si="75"/>
        <v>Och-CBur_015_Ex1-2E-lcwgs-1-1</v>
      </c>
      <c r="CG297" s="3">
        <f t="shared" si="82"/>
        <v>0.22841868396495213</v>
      </c>
      <c r="CH297">
        <v>13288937</v>
      </c>
      <c r="CI297">
        <v>10633439</v>
      </c>
      <c r="CJ297" s="27" t="s">
        <v>79</v>
      </c>
      <c r="CK297" s="3">
        <v>4.6167513059798537</v>
      </c>
      <c r="CL297" s="3" t="s">
        <v>1611</v>
      </c>
      <c r="CM297" s="33" t="s">
        <v>1715</v>
      </c>
      <c r="CN297" s="3" t="str">
        <f t="shared" ref="CN297:CN303" si="97">B297&amp;"-"&amp;Z297&amp;AA297&amp;"-lcwgs-"&amp;C297&amp;"-2"</f>
        <v>Och-CBur_015_Ex1-2E-lcwgs-1-2</v>
      </c>
      <c r="CR297"/>
    </row>
    <row r="298" spans="1:96" x14ac:dyDescent="0.55000000000000004">
      <c r="A298" s="10" t="s">
        <v>1269</v>
      </c>
      <c r="B298" t="str">
        <f t="shared" si="90"/>
        <v>Och-CBur_016_Ex1</v>
      </c>
      <c r="C298" s="3">
        <v>1</v>
      </c>
      <c r="E298" s="3" t="s">
        <v>1317</v>
      </c>
      <c r="F298" s="3">
        <v>4</v>
      </c>
      <c r="G298" s="3" t="s">
        <v>76</v>
      </c>
      <c r="H298">
        <v>9.4237530197527342</v>
      </c>
      <c r="I298" s="3" t="s">
        <v>74</v>
      </c>
      <c r="J298" s="3">
        <v>0.1</v>
      </c>
      <c r="K298" s="3">
        <v>7.25</v>
      </c>
      <c r="L298" s="3">
        <v>0.33</v>
      </c>
      <c r="O298" s="3">
        <v>100</v>
      </c>
      <c r="P298" s="3">
        <v>10.611483534255852</v>
      </c>
      <c r="R298" s="3">
        <v>10</v>
      </c>
      <c r="Z298">
        <v>3</v>
      </c>
      <c r="AA298" t="s">
        <v>73</v>
      </c>
      <c r="AB298" t="s">
        <v>1318</v>
      </c>
      <c r="AC298" s="3" t="s">
        <v>78</v>
      </c>
      <c r="AD298" s="3">
        <v>8</v>
      </c>
      <c r="AE298">
        <v>3</v>
      </c>
      <c r="AF298" t="s">
        <v>73</v>
      </c>
      <c r="AG298" t="s">
        <v>652</v>
      </c>
      <c r="AH298" s="17" t="s">
        <v>653</v>
      </c>
      <c r="AI298" t="s">
        <v>620</v>
      </c>
      <c r="AJ298" s="18" t="s">
        <v>621</v>
      </c>
      <c r="AO298" s="3">
        <v>12.902987123650824</v>
      </c>
      <c r="AP298" s="3">
        <v>36</v>
      </c>
      <c r="AQ298" s="3">
        <f t="shared" si="71"/>
        <v>464.5075364514297</v>
      </c>
      <c r="BE298" s="3" t="s">
        <v>79</v>
      </c>
      <c r="BF298" s="3" t="s">
        <v>1320</v>
      </c>
      <c r="BG298" s="3" t="s">
        <v>416</v>
      </c>
      <c r="BH298" s="3" t="str">
        <f t="shared" si="91"/>
        <v>Och-CBur_LCWGS-libraries</v>
      </c>
      <c r="BI298" s="3" t="str">
        <f t="shared" si="92"/>
        <v>A3</v>
      </c>
      <c r="BJ298" s="3" t="str">
        <f t="shared" si="93"/>
        <v>Och-TL2-DilutionPlate</v>
      </c>
      <c r="BK298" s="3" t="str">
        <f t="shared" si="94"/>
        <v>C3</v>
      </c>
      <c r="BL298" s="3">
        <v>1.5</v>
      </c>
      <c r="BM298" s="3">
        <v>2</v>
      </c>
      <c r="BN298" s="3">
        <f t="shared" si="95"/>
        <v>9.6772403427381182</v>
      </c>
      <c r="BO298" s="3">
        <f t="shared" si="96"/>
        <v>8.1772403427381182</v>
      </c>
      <c r="BP298" s="3" t="s">
        <v>1321</v>
      </c>
      <c r="BQ298">
        <v>3</v>
      </c>
      <c r="BR298" s="3" t="s">
        <v>83</v>
      </c>
      <c r="BX298" s="21" t="s">
        <v>1322</v>
      </c>
      <c r="BY298" s="3" t="str">
        <f t="shared" si="72"/>
        <v>Och-TL2-DilutionPlate</v>
      </c>
      <c r="BZ298" s="3" t="str">
        <f t="shared" si="73"/>
        <v>C3</v>
      </c>
      <c r="CA298" s="3" t="str">
        <f t="shared" si="74"/>
        <v>Och-C-2</v>
      </c>
      <c r="CC298" s="3">
        <v>1.5</v>
      </c>
      <c r="CD298" s="10" t="s">
        <v>1387</v>
      </c>
      <c r="CE298" s="21" t="str">
        <f t="shared" si="70"/>
        <v>OcC0101603A</v>
      </c>
      <c r="CF298" s="21" t="str">
        <f t="shared" si="75"/>
        <v>Och-CBur_016_Ex1-3A-lcwgs-1-1</v>
      </c>
      <c r="CG298" s="3">
        <f t="shared" si="82"/>
        <v>0.2325043008452734</v>
      </c>
      <c r="CH298">
        <v>12683461</v>
      </c>
      <c r="CI298">
        <v>10386109</v>
      </c>
      <c r="CJ298" s="27" t="s">
        <v>79</v>
      </c>
      <c r="CK298" s="3">
        <v>4.8502998752763107</v>
      </c>
      <c r="CL298" s="3" t="s">
        <v>1611</v>
      </c>
      <c r="CM298" s="33" t="s">
        <v>1716</v>
      </c>
      <c r="CN298" s="3" t="str">
        <f t="shared" si="97"/>
        <v>Och-CBur_016_Ex1-3A-lcwgs-1-2</v>
      </c>
      <c r="CR298"/>
    </row>
    <row r="299" spans="1:96" x14ac:dyDescent="0.55000000000000004">
      <c r="A299" s="10" t="s">
        <v>1276</v>
      </c>
      <c r="B299" t="str">
        <f t="shared" si="90"/>
        <v>Och-CBur_017_Ex1</v>
      </c>
      <c r="C299" s="3">
        <v>1</v>
      </c>
      <c r="E299" s="3" t="s">
        <v>1317</v>
      </c>
      <c r="F299" s="3">
        <v>5</v>
      </c>
      <c r="G299" s="3" t="s">
        <v>76</v>
      </c>
      <c r="H299">
        <v>4.1941594429444358</v>
      </c>
      <c r="I299" s="3" t="s">
        <v>74</v>
      </c>
      <c r="J299" s="3">
        <v>0.1</v>
      </c>
      <c r="K299" s="3">
        <v>7.25</v>
      </c>
      <c r="L299" s="3">
        <v>0.33</v>
      </c>
      <c r="O299" s="3">
        <v>100</v>
      </c>
      <c r="P299" s="3">
        <v>23.842679650203465</v>
      </c>
      <c r="R299" s="3">
        <v>10</v>
      </c>
      <c r="Z299">
        <v>3</v>
      </c>
      <c r="AA299" t="s">
        <v>92</v>
      </c>
      <c r="AB299" t="s">
        <v>1318</v>
      </c>
      <c r="AC299" s="3" t="s">
        <v>78</v>
      </c>
      <c r="AD299" s="3">
        <v>8</v>
      </c>
      <c r="AE299">
        <v>3</v>
      </c>
      <c r="AF299" t="s">
        <v>92</v>
      </c>
      <c r="AG299" t="s">
        <v>668</v>
      </c>
      <c r="AH299" s="17" t="s">
        <v>669</v>
      </c>
      <c r="AI299" t="s">
        <v>620</v>
      </c>
      <c r="AJ299" s="18" t="s">
        <v>621</v>
      </c>
      <c r="AO299" s="3">
        <v>6.1049753834501033</v>
      </c>
      <c r="AP299" s="3">
        <v>36</v>
      </c>
      <c r="AQ299" s="3">
        <f t="shared" si="71"/>
        <v>219.77911380420372</v>
      </c>
      <c r="BE299" s="3" t="s">
        <v>79</v>
      </c>
      <c r="BF299" s="3" t="s">
        <v>1320</v>
      </c>
      <c r="BG299" s="3" t="s">
        <v>416</v>
      </c>
      <c r="BH299" s="3" t="str">
        <f t="shared" si="91"/>
        <v>Och-CBur_LCWGS-libraries</v>
      </c>
      <c r="BI299" s="3" t="str">
        <f t="shared" si="92"/>
        <v>H3</v>
      </c>
      <c r="BJ299" s="3" t="str">
        <f t="shared" si="93"/>
        <v>Och-TL2-DilutionPlate</v>
      </c>
      <c r="BK299" s="3" t="str">
        <f t="shared" si="94"/>
        <v>G1</v>
      </c>
      <c r="BL299" s="3">
        <v>1.5</v>
      </c>
      <c r="BM299" s="3">
        <v>2</v>
      </c>
      <c r="BN299" s="3">
        <f t="shared" si="95"/>
        <v>4.5787315375875774</v>
      </c>
      <c r="BO299" s="3">
        <f t="shared" si="96"/>
        <v>3.0787315375875774</v>
      </c>
      <c r="BP299" s="3" t="s">
        <v>1321</v>
      </c>
      <c r="BQ299">
        <v>1</v>
      </c>
      <c r="BR299" s="3" t="s">
        <v>91</v>
      </c>
      <c r="BX299" s="21" t="s">
        <v>1322</v>
      </c>
      <c r="BY299" s="3" t="str">
        <f t="shared" si="72"/>
        <v>Och-TL2-DilutionPlate</v>
      </c>
      <c r="BZ299" s="3" t="str">
        <f t="shared" si="73"/>
        <v>G1</v>
      </c>
      <c r="CA299" s="3" t="str">
        <f t="shared" si="74"/>
        <v>Och-C-2</v>
      </c>
      <c r="CC299" s="3">
        <v>1.5</v>
      </c>
      <c r="CD299" s="10" t="s">
        <v>1394</v>
      </c>
      <c r="CE299" s="21" t="str">
        <f t="shared" si="70"/>
        <v>OcC0101703H</v>
      </c>
      <c r="CF299" s="21" t="str">
        <f t="shared" si="75"/>
        <v>Och-CBur_017_Ex1-3H-lcwgs-1-1</v>
      </c>
      <c r="CG299" s="3">
        <f t="shared" si="82"/>
        <v>0.49140247283103877</v>
      </c>
      <c r="CH299">
        <v>12015195</v>
      </c>
      <c r="CI299">
        <v>9810143</v>
      </c>
      <c r="CJ299" s="27" t="s">
        <v>79</v>
      </c>
      <c r="CK299" s="3">
        <v>11.056617472166547</v>
      </c>
      <c r="CL299" s="3" t="s">
        <v>1611</v>
      </c>
      <c r="CM299" s="33" t="s">
        <v>1717</v>
      </c>
      <c r="CN299" s="3" t="str">
        <f t="shared" si="97"/>
        <v>Och-CBur_017_Ex1-3H-lcwgs-1-2</v>
      </c>
      <c r="CR299"/>
    </row>
    <row r="300" spans="1:96" x14ac:dyDescent="0.55000000000000004">
      <c r="A300" s="10" t="s">
        <v>1283</v>
      </c>
      <c r="B300" t="str">
        <f t="shared" si="90"/>
        <v>Och-CBur_018_Ex1</v>
      </c>
      <c r="C300" s="3">
        <v>1</v>
      </c>
      <c r="E300" s="3" t="s">
        <v>1317</v>
      </c>
      <c r="F300" s="3">
        <v>6</v>
      </c>
      <c r="G300" s="3" t="s">
        <v>76</v>
      </c>
      <c r="H300">
        <v>6.0890152053431859</v>
      </c>
      <c r="I300" s="3" t="s">
        <v>74</v>
      </c>
      <c r="J300" s="3">
        <v>0.1</v>
      </c>
      <c r="K300" s="3">
        <v>7.25</v>
      </c>
      <c r="L300" s="3">
        <v>0.33</v>
      </c>
      <c r="O300" s="3">
        <v>100</v>
      </c>
      <c r="P300" s="3">
        <v>16.42301696212694</v>
      </c>
      <c r="R300" s="3">
        <v>10</v>
      </c>
      <c r="Z300">
        <v>4</v>
      </c>
      <c r="AA300" t="s">
        <v>91</v>
      </c>
      <c r="AB300" t="s">
        <v>1318</v>
      </c>
      <c r="AC300" s="3" t="s">
        <v>78</v>
      </c>
      <c r="AD300" s="3">
        <v>8</v>
      </c>
      <c r="AE300">
        <v>4</v>
      </c>
      <c r="AF300" t="s">
        <v>91</v>
      </c>
      <c r="AG300" t="s">
        <v>666</v>
      </c>
      <c r="AH300" s="17" t="s">
        <v>667</v>
      </c>
      <c r="AI300" t="s">
        <v>622</v>
      </c>
      <c r="AJ300" s="18" t="s">
        <v>623</v>
      </c>
      <c r="AO300" s="3">
        <v>11.648423594016286</v>
      </c>
      <c r="AP300" s="3">
        <v>36</v>
      </c>
      <c r="AQ300" s="3">
        <f t="shared" si="71"/>
        <v>419.34324938458633</v>
      </c>
      <c r="BE300" s="3" t="s">
        <v>79</v>
      </c>
      <c r="BF300" s="3" t="s">
        <v>1320</v>
      </c>
      <c r="BG300" s="3" t="s">
        <v>416</v>
      </c>
      <c r="BH300" s="3" t="str">
        <f t="shared" si="91"/>
        <v>Och-CBur_LCWGS-libraries</v>
      </c>
      <c r="BI300" s="3" t="str">
        <f t="shared" si="92"/>
        <v>G4</v>
      </c>
      <c r="BJ300" s="3" t="str">
        <f t="shared" si="93"/>
        <v>Och-TL2-DilutionPlate</v>
      </c>
      <c r="BK300" s="3" t="str">
        <f t="shared" si="94"/>
        <v>F7</v>
      </c>
      <c r="BL300" s="3">
        <v>1.5</v>
      </c>
      <c r="BM300" s="3">
        <v>2</v>
      </c>
      <c r="BN300" s="3">
        <f t="shared" si="95"/>
        <v>8.7363176955122146</v>
      </c>
      <c r="BO300" s="3">
        <f t="shared" si="96"/>
        <v>7.2363176955122146</v>
      </c>
      <c r="BP300" s="3" t="s">
        <v>1321</v>
      </c>
      <c r="BQ300">
        <v>7</v>
      </c>
      <c r="BR300" s="3" t="s">
        <v>88</v>
      </c>
      <c r="BX300" s="21" t="s">
        <v>1322</v>
      </c>
      <c r="BY300" s="3" t="str">
        <f t="shared" si="72"/>
        <v>Och-TL2-DilutionPlate</v>
      </c>
      <c r="BZ300" s="3" t="str">
        <f t="shared" si="73"/>
        <v>F7</v>
      </c>
      <c r="CA300" s="3" t="str">
        <f t="shared" si="74"/>
        <v>Och-C-2</v>
      </c>
      <c r="CC300" s="3">
        <v>1.5</v>
      </c>
      <c r="CD300" s="10" t="s">
        <v>1401</v>
      </c>
      <c r="CE300" s="21" t="str">
        <f t="shared" si="70"/>
        <v>OcC0101804G</v>
      </c>
      <c r="CF300" s="21" t="str">
        <f t="shared" si="75"/>
        <v>Och-CBur_018_Ex1-4G-lcwgs-1-1</v>
      </c>
      <c r="CG300" s="3">
        <f t="shared" si="82"/>
        <v>0.25754557908943826</v>
      </c>
      <c r="CH300">
        <v>14899229</v>
      </c>
      <c r="CI300">
        <v>12123948</v>
      </c>
      <c r="CJ300" s="27" t="s">
        <v>79</v>
      </c>
      <c r="CK300" s="3">
        <v>4.3421157641489199</v>
      </c>
      <c r="CL300" s="3" t="s">
        <v>1611</v>
      </c>
      <c r="CM300" s="33" t="s">
        <v>1718</v>
      </c>
      <c r="CN300" s="3" t="str">
        <f t="shared" si="97"/>
        <v>Och-CBur_018_Ex1-4G-lcwgs-1-2</v>
      </c>
      <c r="CR300"/>
    </row>
    <row r="301" spans="1:96" x14ac:dyDescent="0.55000000000000004">
      <c r="A301" s="10" t="s">
        <v>1298</v>
      </c>
      <c r="B301" t="str">
        <f t="shared" si="90"/>
        <v>Och-CBur_021_Ex1</v>
      </c>
      <c r="C301" s="3">
        <v>1</v>
      </c>
      <c r="E301" s="3" t="s">
        <v>1317</v>
      </c>
      <c r="F301" s="3">
        <v>9</v>
      </c>
      <c r="G301" s="3" t="s">
        <v>76</v>
      </c>
      <c r="H301">
        <v>5.7632584908341622</v>
      </c>
      <c r="I301" s="3" t="s">
        <v>74</v>
      </c>
      <c r="J301" s="3">
        <v>0.1</v>
      </c>
      <c r="K301" s="3">
        <v>7.25</v>
      </c>
      <c r="L301" s="3">
        <v>0.33</v>
      </c>
      <c r="O301" s="3">
        <v>100</v>
      </c>
      <c r="P301" s="3">
        <v>17.351295306125721</v>
      </c>
      <c r="R301" s="3">
        <v>10</v>
      </c>
      <c r="Z301">
        <v>6</v>
      </c>
      <c r="AA301" t="s">
        <v>88</v>
      </c>
      <c r="AB301" t="s">
        <v>1318</v>
      </c>
      <c r="AC301" s="3" t="s">
        <v>78</v>
      </c>
      <c r="AD301" s="3">
        <v>8</v>
      </c>
      <c r="AE301">
        <v>6</v>
      </c>
      <c r="AF301" t="s">
        <v>88</v>
      </c>
      <c r="AG301" t="s">
        <v>664</v>
      </c>
      <c r="AH301" s="17" t="s">
        <v>665</v>
      </c>
      <c r="AI301" t="s">
        <v>626</v>
      </c>
      <c r="AJ301" s="18" t="s">
        <v>627</v>
      </c>
      <c r="AO301" s="3">
        <v>13.12961086915357</v>
      </c>
      <c r="AP301" s="3">
        <v>36</v>
      </c>
      <c r="AQ301" s="3">
        <f t="shared" si="71"/>
        <v>472.66599128952851</v>
      </c>
      <c r="BE301" s="3" t="s">
        <v>79</v>
      </c>
      <c r="BF301" s="3" t="s">
        <v>1320</v>
      </c>
      <c r="BG301" s="3" t="s">
        <v>416</v>
      </c>
      <c r="BH301" s="3" t="str">
        <f t="shared" si="91"/>
        <v>Och-CBur_LCWGS-libraries</v>
      </c>
      <c r="BI301" s="3" t="str">
        <f t="shared" si="92"/>
        <v>F6</v>
      </c>
      <c r="BJ301" s="3" t="str">
        <f t="shared" si="93"/>
        <v>Och-TL2-DilutionPlate</v>
      </c>
      <c r="BK301" s="3" t="str">
        <f t="shared" si="94"/>
        <v>F2</v>
      </c>
      <c r="BL301" s="3">
        <v>1.5</v>
      </c>
      <c r="BM301" s="3">
        <v>2</v>
      </c>
      <c r="BN301" s="3">
        <f t="shared" si="95"/>
        <v>9.8472081518651784</v>
      </c>
      <c r="BO301" s="3">
        <f t="shared" si="96"/>
        <v>8.3472081518651784</v>
      </c>
      <c r="BP301" s="3" t="s">
        <v>1321</v>
      </c>
      <c r="BQ301">
        <v>2</v>
      </c>
      <c r="BR301" s="3" t="s">
        <v>88</v>
      </c>
      <c r="BX301" s="21" t="s">
        <v>1322</v>
      </c>
      <c r="BY301" s="3" t="str">
        <f t="shared" si="72"/>
        <v>Och-TL2-DilutionPlate</v>
      </c>
      <c r="BZ301" s="3" t="str">
        <f t="shared" si="73"/>
        <v>F2</v>
      </c>
      <c r="CA301" s="3" t="str">
        <f t="shared" si="74"/>
        <v>Och-C-2</v>
      </c>
      <c r="CC301" s="3">
        <v>1.5</v>
      </c>
      <c r="CD301" s="10" t="s">
        <v>1416</v>
      </c>
      <c r="CE301" s="21" t="str">
        <f t="shared" si="70"/>
        <v>OcC0102106F</v>
      </c>
      <c r="CF301" s="21" t="str">
        <f t="shared" si="75"/>
        <v>Och-CBur_021_Ex1-6F-lcwgs-1-1</v>
      </c>
      <c r="CG301" s="3">
        <f t="shared" si="82"/>
        <v>0.2284911586411244</v>
      </c>
      <c r="CH301">
        <v>7027079</v>
      </c>
      <c r="CI301">
        <v>5794859</v>
      </c>
      <c r="CJ301" s="27" t="s">
        <v>79</v>
      </c>
      <c r="CK301" s="3">
        <v>9.8203659443933073</v>
      </c>
      <c r="CL301" s="3" t="s">
        <v>1611</v>
      </c>
      <c r="CM301" s="33" t="s">
        <v>1719</v>
      </c>
      <c r="CN301" s="3" t="str">
        <f t="shared" si="97"/>
        <v>Och-CBur_021_Ex1-6F-lcwgs-1-2</v>
      </c>
      <c r="CR301"/>
    </row>
    <row r="302" spans="1:96" x14ac:dyDescent="0.55000000000000004">
      <c r="A302" s="10" t="s">
        <v>1302</v>
      </c>
      <c r="B302" t="str">
        <f t="shared" si="90"/>
        <v>Och-CBur_022_Ex1</v>
      </c>
      <c r="C302" s="3">
        <v>1</v>
      </c>
      <c r="E302" s="3" t="s">
        <v>1317</v>
      </c>
      <c r="F302" s="3">
        <v>10</v>
      </c>
      <c r="G302" s="3" t="s">
        <v>76</v>
      </c>
      <c r="H302">
        <v>11.949506181611481</v>
      </c>
      <c r="I302" s="3" t="s">
        <v>74</v>
      </c>
      <c r="J302" s="3">
        <v>0.1</v>
      </c>
      <c r="K302" s="3">
        <v>7.25</v>
      </c>
      <c r="L302" s="3">
        <v>0.33</v>
      </c>
      <c r="O302" s="3">
        <v>100</v>
      </c>
      <c r="P302" s="3">
        <v>8.3685466562530575</v>
      </c>
      <c r="R302" s="3">
        <v>10</v>
      </c>
      <c r="Z302">
        <v>7</v>
      </c>
      <c r="AA302" t="s">
        <v>76</v>
      </c>
      <c r="AB302" t="s">
        <v>1318</v>
      </c>
      <c r="AC302" s="3" t="s">
        <v>78</v>
      </c>
      <c r="AD302" s="3">
        <v>8</v>
      </c>
      <c r="AE302">
        <v>7</v>
      </c>
      <c r="AF302" t="s">
        <v>76</v>
      </c>
      <c r="AG302" t="s">
        <v>656</v>
      </c>
      <c r="AH302" s="17" t="s">
        <v>657</v>
      </c>
      <c r="AI302" t="s">
        <v>628</v>
      </c>
      <c r="AJ302" s="18" t="s">
        <v>629</v>
      </c>
      <c r="AO302" s="3">
        <v>3.9580808558985039</v>
      </c>
      <c r="AP302" s="3">
        <v>36</v>
      </c>
      <c r="AQ302" s="3">
        <f t="shared" si="71"/>
        <v>142.49091081234613</v>
      </c>
      <c r="BE302" s="3" t="s">
        <v>79</v>
      </c>
      <c r="BF302" s="3" t="s">
        <v>1320</v>
      </c>
      <c r="BG302" s="3" t="s">
        <v>416</v>
      </c>
      <c r="BH302" s="3" t="str">
        <f t="shared" si="91"/>
        <v>Och-CBur_LCWGS-libraries</v>
      </c>
      <c r="BI302" s="3" t="str">
        <f t="shared" si="92"/>
        <v>B7</v>
      </c>
      <c r="BJ302" s="3" t="str">
        <f t="shared" si="93"/>
        <v>Och-TL2-DilutionPlate</v>
      </c>
      <c r="BK302" s="3" t="str">
        <f t="shared" si="94"/>
        <v>D1</v>
      </c>
      <c r="BL302" s="3">
        <v>1.5</v>
      </c>
      <c r="BM302" s="3">
        <v>2</v>
      </c>
      <c r="BN302" s="3">
        <f t="shared" si="95"/>
        <v>2.9685606419238777</v>
      </c>
      <c r="BO302" s="3">
        <f t="shared" si="96"/>
        <v>1.4685606419238777</v>
      </c>
      <c r="BP302" s="3" t="s">
        <v>1321</v>
      </c>
      <c r="BQ302">
        <v>1</v>
      </c>
      <c r="BR302" s="3" t="s">
        <v>84</v>
      </c>
      <c r="BX302" s="21" t="s">
        <v>1322</v>
      </c>
      <c r="BY302" s="3" t="str">
        <f t="shared" si="72"/>
        <v>Och-TL2-DilutionPlate</v>
      </c>
      <c r="BZ302" s="3" t="str">
        <f t="shared" si="73"/>
        <v>D1</v>
      </c>
      <c r="CA302" s="3" t="str">
        <f t="shared" si="74"/>
        <v>Och-C-2</v>
      </c>
      <c r="CC302" s="3">
        <v>1.5</v>
      </c>
      <c r="CD302" s="10" t="s">
        <v>1420</v>
      </c>
      <c r="CE302" s="21" t="str">
        <f t="shared" si="70"/>
        <v>OcC0102207B</v>
      </c>
      <c r="CF302" s="21" t="str">
        <f t="shared" si="75"/>
        <v>Och-CBur_022_Ex1-7B-lcwgs-1-1</v>
      </c>
      <c r="CG302" s="3">
        <f t="shared" si="82"/>
        <v>0.75794308131155785</v>
      </c>
      <c r="CH302">
        <v>12817901</v>
      </c>
      <c r="CI302">
        <v>10610415</v>
      </c>
      <c r="CJ302" s="27" t="s">
        <v>79</v>
      </c>
      <c r="CK302" s="3">
        <v>15.364235125202764</v>
      </c>
      <c r="CL302" s="3" t="s">
        <v>1611</v>
      </c>
      <c r="CM302" s="33" t="s">
        <v>1720</v>
      </c>
      <c r="CN302" s="3" t="str">
        <f t="shared" si="97"/>
        <v>Och-CBur_022_Ex1-7B-lcwgs-1-2</v>
      </c>
      <c r="CR302"/>
    </row>
    <row r="303" spans="1:96" x14ac:dyDescent="0.55000000000000004">
      <c r="A303" s="10" t="s">
        <v>1307</v>
      </c>
      <c r="B303" t="str">
        <f t="shared" si="90"/>
        <v>Och-CBur_023_Ex1</v>
      </c>
      <c r="C303" s="3">
        <v>1</v>
      </c>
      <c r="E303" s="3" t="s">
        <v>1317</v>
      </c>
      <c r="F303" s="3">
        <v>11</v>
      </c>
      <c r="G303" s="3" t="s">
        <v>76</v>
      </c>
      <c r="H303">
        <v>4.6413564018757985</v>
      </c>
      <c r="I303" s="3" t="s">
        <v>74</v>
      </c>
      <c r="J303" s="3">
        <v>0.1</v>
      </c>
      <c r="K303" s="3">
        <v>7.25</v>
      </c>
      <c r="L303" s="3">
        <v>0.33</v>
      </c>
      <c r="O303" s="3">
        <v>100</v>
      </c>
      <c r="P303" s="3">
        <v>21.545425806901001</v>
      </c>
      <c r="R303" s="3">
        <v>10</v>
      </c>
      <c r="Z303">
        <v>7</v>
      </c>
      <c r="AA303" t="s">
        <v>91</v>
      </c>
      <c r="AB303" t="s">
        <v>1318</v>
      </c>
      <c r="AC303" s="3" t="s">
        <v>78</v>
      </c>
      <c r="AD303" s="3">
        <v>8</v>
      </c>
      <c r="AE303">
        <v>7</v>
      </c>
      <c r="AF303" t="s">
        <v>91</v>
      </c>
      <c r="AG303" t="s">
        <v>666</v>
      </c>
      <c r="AH303" s="17" t="s">
        <v>667</v>
      </c>
      <c r="AI303" t="s">
        <v>628</v>
      </c>
      <c r="AJ303" s="18" t="s">
        <v>629</v>
      </c>
      <c r="AO303" s="3">
        <v>6.1700814239727322</v>
      </c>
      <c r="AP303" s="3">
        <v>36</v>
      </c>
      <c r="AQ303" s="3">
        <f t="shared" si="71"/>
        <v>222.12293126301836</v>
      </c>
      <c r="BE303" s="3" t="s">
        <v>79</v>
      </c>
      <c r="BF303" s="3" t="s">
        <v>1320</v>
      </c>
      <c r="BG303" s="3" t="s">
        <v>416</v>
      </c>
      <c r="BH303" s="3" t="str">
        <f t="shared" si="91"/>
        <v>Och-CBur_LCWGS-libraries</v>
      </c>
      <c r="BI303" s="3" t="str">
        <f t="shared" si="92"/>
        <v>G7</v>
      </c>
      <c r="BJ303" s="3" t="str">
        <f t="shared" si="93"/>
        <v>Och-TL2-DilutionPlate</v>
      </c>
      <c r="BK303" s="3" t="str">
        <f t="shared" si="94"/>
        <v>F10</v>
      </c>
      <c r="BL303" s="3">
        <v>1.5</v>
      </c>
      <c r="BM303" s="3">
        <v>2</v>
      </c>
      <c r="BN303" s="3">
        <f t="shared" si="95"/>
        <v>4.6275610679795491</v>
      </c>
      <c r="BO303" s="3">
        <f t="shared" si="96"/>
        <v>3.1275610679795491</v>
      </c>
      <c r="BP303" s="3" t="s">
        <v>1321</v>
      </c>
      <c r="BQ303">
        <v>10</v>
      </c>
      <c r="BR303" s="3" t="s">
        <v>88</v>
      </c>
      <c r="BX303" s="21" t="s">
        <v>1322</v>
      </c>
      <c r="BY303" s="3" t="str">
        <f t="shared" si="72"/>
        <v>Och-TL2-DilutionPlate</v>
      </c>
      <c r="BZ303" s="3" t="str">
        <f t="shared" si="73"/>
        <v>F10</v>
      </c>
      <c r="CA303" s="3" t="str">
        <f t="shared" si="74"/>
        <v>Och-C-2</v>
      </c>
      <c r="CC303" s="3">
        <v>1.5</v>
      </c>
      <c r="CD303" s="10" t="s">
        <v>1425</v>
      </c>
      <c r="CE303" s="21" t="str">
        <f t="shared" si="70"/>
        <v>OcC0102307G</v>
      </c>
      <c r="CF303" s="21" t="str">
        <f t="shared" si="75"/>
        <v>Och-CBur_023_Ex1-7G-lcwgs-1-1</v>
      </c>
      <c r="CG303" s="3">
        <f t="shared" ref="CG303:CG334" si="98">IF(ISNUMBER(BM303),CC303*BL303/BN303,CC303)</f>
        <v>0.4862172463954923</v>
      </c>
      <c r="CH303">
        <v>14001098</v>
      </c>
      <c r="CI303">
        <v>11419891</v>
      </c>
      <c r="CJ303" s="27" t="s">
        <v>79</v>
      </c>
      <c r="CK303" s="3">
        <v>8.9143053191294097</v>
      </c>
      <c r="CL303" s="3" t="s">
        <v>1611</v>
      </c>
      <c r="CM303" s="33" t="s">
        <v>1721</v>
      </c>
      <c r="CN303" s="3" t="str">
        <f t="shared" si="97"/>
        <v>Och-CBur_023_Ex1-7G-lcwgs-1-2</v>
      </c>
      <c r="CR303"/>
    </row>
    <row r="304" spans="1:96" x14ac:dyDescent="0.55000000000000004">
      <c r="A304" s="10" t="s">
        <v>1313</v>
      </c>
      <c r="B304" t="str">
        <f t="shared" si="90"/>
        <v>Och-CBur_024_Ex1</v>
      </c>
      <c r="C304" s="3">
        <v>1</v>
      </c>
      <c r="E304" s="3" t="s">
        <v>1317</v>
      </c>
      <c r="F304" s="3">
        <v>12</v>
      </c>
      <c r="G304" s="3" t="s">
        <v>76</v>
      </c>
      <c r="H304">
        <v>3.773220122211169</v>
      </c>
      <c r="I304" s="3" t="s">
        <v>74</v>
      </c>
      <c r="J304" s="3">
        <v>0.1</v>
      </c>
      <c r="K304" s="3">
        <v>7.25</v>
      </c>
      <c r="L304" s="3">
        <v>0.33</v>
      </c>
      <c r="O304" s="3">
        <v>100</v>
      </c>
      <c r="P304" s="3">
        <v>26.502561939428638</v>
      </c>
      <c r="R304" s="3">
        <v>10</v>
      </c>
      <c r="Z304">
        <v>8</v>
      </c>
      <c r="AA304" t="s">
        <v>87</v>
      </c>
      <c r="AB304" t="s">
        <v>1318</v>
      </c>
      <c r="AC304" s="3" t="s">
        <v>78</v>
      </c>
      <c r="AD304" s="3">
        <v>8</v>
      </c>
      <c r="AE304">
        <v>8</v>
      </c>
      <c r="AF304" t="s">
        <v>87</v>
      </c>
      <c r="AG304" t="s">
        <v>662</v>
      </c>
      <c r="AH304" s="17" t="s">
        <v>663</v>
      </c>
      <c r="AI304" t="s">
        <v>630</v>
      </c>
      <c r="AJ304" s="18" t="s">
        <v>631</v>
      </c>
      <c r="AO304" s="3">
        <v>0.47612194660102247</v>
      </c>
      <c r="AP304" s="3">
        <v>36</v>
      </c>
      <c r="AQ304" s="3">
        <f t="shared" si="71"/>
        <v>17.140390077636809</v>
      </c>
      <c r="BE304" s="3" t="s">
        <v>79</v>
      </c>
      <c r="BF304" s="3" t="s">
        <v>1320</v>
      </c>
      <c r="BG304" s="3" t="s">
        <v>186</v>
      </c>
      <c r="BH304" s="3" t="s">
        <v>186</v>
      </c>
      <c r="BI304" s="3" t="s">
        <v>186</v>
      </c>
      <c r="BJ304" s="3" t="s">
        <v>186</v>
      </c>
      <c r="BK304" s="3" t="s">
        <v>186</v>
      </c>
      <c r="BL304" s="3" t="s">
        <v>186</v>
      </c>
      <c r="BM304" s="3" t="s">
        <v>186</v>
      </c>
      <c r="BN304" s="3" t="s">
        <v>186</v>
      </c>
      <c r="BO304" s="3" t="s">
        <v>186</v>
      </c>
      <c r="BP304" s="3" t="s">
        <v>186</v>
      </c>
      <c r="BQ304" s="3" t="s">
        <v>186</v>
      </c>
      <c r="BR304" s="3" t="s">
        <v>186</v>
      </c>
      <c r="BS304" s="3" t="s">
        <v>186</v>
      </c>
      <c r="BT304" s="3" t="s">
        <v>186</v>
      </c>
      <c r="BU304" s="3" t="s">
        <v>186</v>
      </c>
      <c r="BV304" s="3" t="s">
        <v>186</v>
      </c>
      <c r="BW304" s="3" t="s">
        <v>186</v>
      </c>
      <c r="BX304" s="21" t="s">
        <v>1322</v>
      </c>
      <c r="BY304" s="3" t="str">
        <f t="shared" si="72"/>
        <v>Och-CBur_LCWGS-libraries</v>
      </c>
      <c r="BZ304" s="3" t="str">
        <f t="shared" si="73"/>
        <v>E8</v>
      </c>
      <c r="CA304" s="3" t="str">
        <f t="shared" si="74"/>
        <v>Och-C-2</v>
      </c>
      <c r="CC304" s="3">
        <v>1.5</v>
      </c>
      <c r="CD304" s="10" t="s">
        <v>1431</v>
      </c>
      <c r="CE304" s="21" t="str">
        <f t="shared" si="70"/>
        <v>OcC0102408E</v>
      </c>
      <c r="CF304" s="21" t="str">
        <f t="shared" si="75"/>
        <v>Och-CBur_024_Ex1-8E-lcwgs-1-1</v>
      </c>
      <c r="CG304" s="3">
        <f t="shared" si="98"/>
        <v>1.5</v>
      </c>
      <c r="CH304">
        <v>300855</v>
      </c>
      <c r="CI304">
        <v>256707</v>
      </c>
      <c r="CJ304" s="27" t="s">
        <v>185</v>
      </c>
      <c r="CK304" s="3">
        <v>0</v>
      </c>
      <c r="CM304" s="33"/>
    </row>
    <row r="305" spans="1:96" x14ac:dyDescent="0.55000000000000004">
      <c r="A305" s="10" t="s">
        <v>1254</v>
      </c>
      <c r="B305" t="str">
        <f t="shared" si="90"/>
        <v>Och-CBur_025_Ex1</v>
      </c>
      <c r="C305" s="3">
        <v>1</v>
      </c>
      <c r="E305" s="3" t="s">
        <v>1317</v>
      </c>
      <c r="F305" s="3">
        <v>1</v>
      </c>
      <c r="G305" s="3" t="s">
        <v>83</v>
      </c>
      <c r="H305">
        <v>5.0914985078868824</v>
      </c>
      <c r="I305" s="3" t="s">
        <v>74</v>
      </c>
      <c r="J305" s="3">
        <v>0.1</v>
      </c>
      <c r="K305" s="3">
        <v>7.25</v>
      </c>
      <c r="L305" s="3">
        <v>0.33</v>
      </c>
      <c r="O305" s="3">
        <v>100</v>
      </c>
      <c r="P305" s="3">
        <v>19.640583188838615</v>
      </c>
      <c r="R305" s="3">
        <v>10</v>
      </c>
      <c r="Z305">
        <v>1</v>
      </c>
      <c r="AA305" t="s">
        <v>76</v>
      </c>
      <c r="AB305" t="s">
        <v>1318</v>
      </c>
      <c r="AC305" s="3" t="s">
        <v>78</v>
      </c>
      <c r="AD305" s="3">
        <v>8</v>
      </c>
      <c r="AE305">
        <v>1</v>
      </c>
      <c r="AF305" t="s">
        <v>76</v>
      </c>
      <c r="AG305" t="s">
        <v>656</v>
      </c>
      <c r="AH305" s="17" t="s">
        <v>657</v>
      </c>
      <c r="AI305" t="s">
        <v>616</v>
      </c>
      <c r="AJ305" s="18" t="s">
        <v>617</v>
      </c>
      <c r="AO305" s="3">
        <v>13.366483620526417</v>
      </c>
      <c r="AP305" s="3">
        <v>36</v>
      </c>
      <c r="AQ305" s="3">
        <f t="shared" si="71"/>
        <v>481.19341033895103</v>
      </c>
      <c r="BE305" s="3" t="s">
        <v>79</v>
      </c>
      <c r="BF305" s="3" t="s">
        <v>1320</v>
      </c>
      <c r="BG305" s="3" t="s">
        <v>416</v>
      </c>
      <c r="BH305" s="3" t="str">
        <f>AB305</f>
        <v>Och-CBur_LCWGS-libraries</v>
      </c>
      <c r="BI305" s="3" t="str">
        <f>AA305&amp;Z305</f>
        <v>B1</v>
      </c>
      <c r="BJ305" s="3" t="str">
        <f>BP305</f>
        <v>Och-TL2-DilutionPlate</v>
      </c>
      <c r="BK305" s="3" t="str">
        <f>BR305&amp;BQ305</f>
        <v>C8</v>
      </c>
      <c r="BL305" s="3">
        <v>1.5</v>
      </c>
      <c r="BM305" s="3">
        <v>2</v>
      </c>
      <c r="BN305" s="3">
        <f>AO305*BL305/BM305</f>
        <v>10.024862715394812</v>
      </c>
      <c r="BO305" s="3">
        <f>BN305-BL305</f>
        <v>8.5248627153948124</v>
      </c>
      <c r="BP305" s="3" t="s">
        <v>1321</v>
      </c>
      <c r="BQ305">
        <v>8</v>
      </c>
      <c r="BR305" s="3" t="s">
        <v>83</v>
      </c>
      <c r="BX305" s="21" t="s">
        <v>1322</v>
      </c>
      <c r="BY305" s="3" t="str">
        <f t="shared" si="72"/>
        <v>Och-TL2-DilutionPlate</v>
      </c>
      <c r="BZ305" s="3" t="str">
        <f t="shared" si="73"/>
        <v>C8</v>
      </c>
      <c r="CA305" s="3" t="str">
        <f t="shared" si="74"/>
        <v>Och-C-2</v>
      </c>
      <c r="CC305" s="3">
        <v>1.5</v>
      </c>
      <c r="CD305" s="10" t="s">
        <v>1372</v>
      </c>
      <c r="CE305" s="21" t="str">
        <f t="shared" si="70"/>
        <v>OcC0102501B</v>
      </c>
      <c r="CF305" s="21" t="str">
        <f t="shared" si="75"/>
        <v>Och-CBur_025_Ex1-1B-lcwgs-1-1</v>
      </c>
      <c r="CG305" s="3">
        <f t="shared" si="98"/>
        <v>0.22444197630205528</v>
      </c>
      <c r="CH305">
        <v>9915619</v>
      </c>
      <c r="CI305">
        <v>8005681</v>
      </c>
      <c r="CJ305" s="27" t="s">
        <v>79</v>
      </c>
      <c r="CK305" s="3">
        <v>6.5451419383821126</v>
      </c>
      <c r="CL305" s="3" t="s">
        <v>1611</v>
      </c>
      <c r="CM305" s="33" t="s">
        <v>1722</v>
      </c>
      <c r="CN305" s="3" t="str">
        <f>B305&amp;"-"&amp;Z305&amp;AA305&amp;"-lcwgs-"&amp;C305&amp;"-2"</f>
        <v>Och-CBur_025_Ex1-1B-lcwgs-1-2</v>
      </c>
      <c r="CR305"/>
    </row>
    <row r="306" spans="1:96" x14ac:dyDescent="0.55000000000000004">
      <c r="A306" s="10" t="s">
        <v>1260</v>
      </c>
      <c r="B306" t="str">
        <f t="shared" si="90"/>
        <v>Och-CBur_026_Ex1</v>
      </c>
      <c r="C306" s="3">
        <v>1</v>
      </c>
      <c r="E306" s="3" t="s">
        <v>1317</v>
      </c>
      <c r="F306" s="3">
        <v>2</v>
      </c>
      <c r="G306" s="3" t="s">
        <v>83</v>
      </c>
      <c r="H306">
        <v>4.3407631092795214</v>
      </c>
      <c r="I306" s="3" t="s">
        <v>74</v>
      </c>
      <c r="J306" s="3">
        <v>0.1</v>
      </c>
      <c r="K306" s="3">
        <v>7.25</v>
      </c>
      <c r="L306" s="3">
        <v>0.33</v>
      </c>
      <c r="O306" s="3">
        <v>100</v>
      </c>
      <c r="P306" s="3">
        <v>23.037423946546113</v>
      </c>
      <c r="R306" s="3">
        <v>10</v>
      </c>
      <c r="Z306">
        <v>1</v>
      </c>
      <c r="AA306" t="s">
        <v>92</v>
      </c>
      <c r="AB306" t="s">
        <v>1318</v>
      </c>
      <c r="AC306" s="3" t="s">
        <v>78</v>
      </c>
      <c r="AD306" s="3">
        <v>8</v>
      </c>
      <c r="AE306">
        <v>1</v>
      </c>
      <c r="AF306" t="s">
        <v>92</v>
      </c>
      <c r="AG306" t="s">
        <v>668</v>
      </c>
      <c r="AH306" s="17" t="s">
        <v>669</v>
      </c>
      <c r="AI306" t="s">
        <v>616</v>
      </c>
      <c r="AJ306" s="18" t="s">
        <v>617</v>
      </c>
      <c r="AO306" s="3">
        <v>0.15594110963832603</v>
      </c>
      <c r="AP306" s="3">
        <v>36</v>
      </c>
      <c r="AQ306" s="3">
        <f t="shared" si="71"/>
        <v>5.6138799469797371</v>
      </c>
      <c r="BE306" s="3" t="s">
        <v>79</v>
      </c>
      <c r="BF306" s="3" t="s">
        <v>1320</v>
      </c>
      <c r="BG306" s="3" t="s">
        <v>186</v>
      </c>
      <c r="BH306" s="3" t="s">
        <v>186</v>
      </c>
      <c r="BI306" s="3" t="s">
        <v>186</v>
      </c>
      <c r="BJ306" s="3" t="s">
        <v>186</v>
      </c>
      <c r="BK306" s="3" t="s">
        <v>186</v>
      </c>
      <c r="BL306" s="3" t="s">
        <v>186</v>
      </c>
      <c r="BM306" s="3" t="s">
        <v>186</v>
      </c>
      <c r="BN306" s="3" t="s">
        <v>186</v>
      </c>
      <c r="BO306" s="3" t="s">
        <v>186</v>
      </c>
      <c r="BP306" s="3" t="s">
        <v>186</v>
      </c>
      <c r="BQ306" s="3" t="s">
        <v>186</v>
      </c>
      <c r="BR306" s="3" t="s">
        <v>186</v>
      </c>
      <c r="BS306" s="3" t="s">
        <v>186</v>
      </c>
      <c r="BT306" s="3" t="s">
        <v>186</v>
      </c>
      <c r="BU306" s="3" t="s">
        <v>186</v>
      </c>
      <c r="BV306" s="3" t="s">
        <v>186</v>
      </c>
      <c r="BW306" s="3" t="s">
        <v>186</v>
      </c>
      <c r="BX306" s="21" t="s">
        <v>1322</v>
      </c>
      <c r="BY306" s="3" t="str">
        <f t="shared" si="72"/>
        <v>Och-CBur_LCWGS-libraries</v>
      </c>
      <c r="BZ306" s="3" t="str">
        <f t="shared" si="73"/>
        <v>H1</v>
      </c>
      <c r="CA306" s="3" t="str">
        <f t="shared" si="74"/>
        <v>Och-C-2</v>
      </c>
      <c r="CC306" s="3">
        <v>1.5</v>
      </c>
      <c r="CD306" s="10" t="s">
        <v>1378</v>
      </c>
      <c r="CE306" s="21" t="str">
        <f t="shared" si="70"/>
        <v>OcC0102601H</v>
      </c>
      <c r="CF306" s="21" t="str">
        <f t="shared" si="75"/>
        <v>Och-CBur_026_Ex1-1H-lcwgs-1-1</v>
      </c>
      <c r="CG306" s="3">
        <f t="shared" si="98"/>
        <v>1.5</v>
      </c>
      <c r="CH306">
        <v>229925</v>
      </c>
      <c r="CI306">
        <v>197629</v>
      </c>
      <c r="CJ306" s="27" t="s">
        <v>185</v>
      </c>
      <c r="CK306" s="3">
        <v>0</v>
      </c>
      <c r="CM306" s="33"/>
    </row>
    <row r="307" spans="1:96" x14ac:dyDescent="0.55000000000000004">
      <c r="A307" s="10" t="s">
        <v>1270</v>
      </c>
      <c r="B307" t="str">
        <f t="shared" si="90"/>
        <v>Och-CBur_028_Ex1</v>
      </c>
      <c r="C307" s="3">
        <v>1</v>
      </c>
      <c r="E307" s="3" t="s">
        <v>1317</v>
      </c>
      <c r="F307" s="3">
        <v>4</v>
      </c>
      <c r="G307" s="3" t="s">
        <v>83</v>
      </c>
      <c r="H307">
        <v>4.3697953673440386</v>
      </c>
      <c r="I307" s="3" t="s">
        <v>74</v>
      </c>
      <c r="J307" s="3">
        <v>0.1</v>
      </c>
      <c r="K307" s="3">
        <v>7.25</v>
      </c>
      <c r="L307" s="3">
        <v>0.33</v>
      </c>
      <c r="O307" s="3">
        <v>100</v>
      </c>
      <c r="P307" s="3">
        <v>22.884366793765903</v>
      </c>
      <c r="R307" s="3">
        <v>10</v>
      </c>
      <c r="Z307">
        <v>3</v>
      </c>
      <c r="AA307" t="s">
        <v>76</v>
      </c>
      <c r="AB307" t="s">
        <v>1318</v>
      </c>
      <c r="AC307" s="3" t="s">
        <v>78</v>
      </c>
      <c r="AD307" s="3">
        <v>8</v>
      </c>
      <c r="AE307">
        <v>3</v>
      </c>
      <c r="AF307" t="s">
        <v>76</v>
      </c>
      <c r="AG307" t="s">
        <v>656</v>
      </c>
      <c r="AH307" s="17" t="s">
        <v>657</v>
      </c>
      <c r="AI307" t="s">
        <v>620</v>
      </c>
      <c r="AJ307" s="18" t="s">
        <v>621</v>
      </c>
      <c r="AO307" s="3">
        <v>8.2195464874076869</v>
      </c>
      <c r="AP307" s="3">
        <v>36</v>
      </c>
      <c r="AQ307" s="3">
        <f t="shared" si="71"/>
        <v>295.90367354667671</v>
      </c>
      <c r="BE307" s="3" t="s">
        <v>79</v>
      </c>
      <c r="BF307" s="3" t="s">
        <v>1320</v>
      </c>
      <c r="BG307" s="3" t="s">
        <v>416</v>
      </c>
      <c r="BH307" s="3" t="str">
        <f>AB307</f>
        <v>Och-CBur_LCWGS-libraries</v>
      </c>
      <c r="BI307" s="3" t="str">
        <f>AA307&amp;Z307</f>
        <v>B3</v>
      </c>
      <c r="BJ307" s="3" t="str">
        <f>BP307</f>
        <v>Och-TL2-DilutionPlate</v>
      </c>
      <c r="BK307" s="3" t="str">
        <f>BR307&amp;BQ307</f>
        <v>C10</v>
      </c>
      <c r="BL307" s="3">
        <v>1.5</v>
      </c>
      <c r="BM307" s="3">
        <v>2</v>
      </c>
      <c r="BN307" s="3">
        <f>AO307*BL307/BM307</f>
        <v>6.1646598655557652</v>
      </c>
      <c r="BO307" s="3">
        <f>BN307-BL307</f>
        <v>4.6646598655557652</v>
      </c>
      <c r="BP307" s="3" t="s">
        <v>1321</v>
      </c>
      <c r="BQ307">
        <v>10</v>
      </c>
      <c r="BR307" s="3" t="s">
        <v>83</v>
      </c>
      <c r="BX307" s="21" t="s">
        <v>1322</v>
      </c>
      <c r="BY307" s="3" t="str">
        <f t="shared" si="72"/>
        <v>Och-TL2-DilutionPlate</v>
      </c>
      <c r="BZ307" s="3" t="str">
        <f t="shared" si="73"/>
        <v>C10</v>
      </c>
      <c r="CA307" s="3" t="str">
        <f t="shared" si="74"/>
        <v>Och-C-2</v>
      </c>
      <c r="CC307" s="3">
        <v>1.5</v>
      </c>
      <c r="CD307" s="10" t="s">
        <v>1388</v>
      </c>
      <c r="CE307" s="21" t="str">
        <f t="shared" si="70"/>
        <v>OcC0102803B</v>
      </c>
      <c r="CF307" s="21" t="str">
        <f t="shared" si="75"/>
        <v>Och-CBur_028_Ex1-3B-lcwgs-1-1</v>
      </c>
      <c r="CG307" s="3">
        <f t="shared" si="98"/>
        <v>0.36498364047164744</v>
      </c>
      <c r="CH307">
        <v>11020082</v>
      </c>
      <c r="CI307">
        <v>8994935</v>
      </c>
      <c r="CJ307" s="27" t="s">
        <v>79</v>
      </c>
      <c r="CK307" s="3">
        <v>9.1898215436790487</v>
      </c>
      <c r="CL307" s="3" t="s">
        <v>1611</v>
      </c>
      <c r="CM307" s="33" t="s">
        <v>1723</v>
      </c>
      <c r="CN307" s="3" t="str">
        <f>B307&amp;"-"&amp;Z307&amp;AA307&amp;"-lcwgs-"&amp;C307&amp;"-2"</f>
        <v>Och-CBur_028_Ex1-3B-lcwgs-1-2</v>
      </c>
      <c r="CR307"/>
    </row>
    <row r="308" spans="1:96" x14ac:dyDescent="0.55000000000000004">
      <c r="A308" s="10" t="s">
        <v>1277</v>
      </c>
      <c r="B308" t="str">
        <f t="shared" si="90"/>
        <v>Och-CBur_029_Ex1</v>
      </c>
      <c r="C308" s="3">
        <v>1</v>
      </c>
      <c r="E308" s="3" t="s">
        <v>1317</v>
      </c>
      <c r="F308" s="3">
        <v>5</v>
      </c>
      <c r="G308" s="3" t="s">
        <v>83</v>
      </c>
      <c r="H308">
        <v>7.5977902515276394</v>
      </c>
      <c r="I308" s="3" t="s">
        <v>74</v>
      </c>
      <c r="J308" s="3">
        <v>0.1</v>
      </c>
      <c r="K308" s="3">
        <v>7.25</v>
      </c>
      <c r="L308" s="3">
        <v>0.33</v>
      </c>
      <c r="O308" s="3">
        <v>100</v>
      </c>
      <c r="P308" s="3">
        <v>13.161721591339486</v>
      </c>
      <c r="R308" s="3">
        <v>10</v>
      </c>
      <c r="Z308">
        <v>4</v>
      </c>
      <c r="AA308" t="s">
        <v>73</v>
      </c>
      <c r="AB308" t="s">
        <v>1318</v>
      </c>
      <c r="AC308" s="3" t="s">
        <v>78</v>
      </c>
      <c r="AD308" s="3">
        <v>8</v>
      </c>
      <c r="AE308">
        <v>4</v>
      </c>
      <c r="AF308" t="s">
        <v>73</v>
      </c>
      <c r="AG308" t="s">
        <v>652</v>
      </c>
      <c r="AH308" s="17" t="s">
        <v>653</v>
      </c>
      <c r="AI308" t="s">
        <v>622</v>
      </c>
      <c r="AJ308" s="18" t="s">
        <v>623</v>
      </c>
      <c r="AO308" s="3">
        <v>17.655316227987122</v>
      </c>
      <c r="AP308" s="3">
        <v>36</v>
      </c>
      <c r="AQ308" s="3">
        <f t="shared" si="71"/>
        <v>635.59138420753641</v>
      </c>
      <c r="BE308" s="3" t="s">
        <v>79</v>
      </c>
      <c r="BF308" s="3" t="s">
        <v>1320</v>
      </c>
      <c r="BG308" s="3" t="s">
        <v>416</v>
      </c>
      <c r="BH308" s="3" t="str">
        <f>AB308</f>
        <v>Och-CBur_LCWGS-libraries</v>
      </c>
      <c r="BI308" s="3" t="str">
        <f>AA308&amp;Z308</f>
        <v>A4</v>
      </c>
      <c r="BJ308" s="3" t="str">
        <f>BP308</f>
        <v>Och-TL2-DilutionPlate</v>
      </c>
      <c r="BK308" s="3" t="str">
        <f>BR308&amp;BQ308</f>
        <v>C4</v>
      </c>
      <c r="BL308" s="3">
        <v>1.5</v>
      </c>
      <c r="BM308" s="3">
        <v>2</v>
      </c>
      <c r="BN308" s="3">
        <f>AO308*BL308/BM308</f>
        <v>13.241487170990341</v>
      </c>
      <c r="BO308" s="3">
        <f>BN308-BL308</f>
        <v>11.741487170990341</v>
      </c>
      <c r="BP308" s="3" t="s">
        <v>1321</v>
      </c>
      <c r="BQ308">
        <v>4</v>
      </c>
      <c r="BR308" s="3" t="s">
        <v>83</v>
      </c>
      <c r="BX308" s="21" t="s">
        <v>1322</v>
      </c>
      <c r="BY308" s="3" t="str">
        <f t="shared" si="72"/>
        <v>Och-TL2-DilutionPlate</v>
      </c>
      <c r="BZ308" s="3" t="str">
        <f t="shared" si="73"/>
        <v>C4</v>
      </c>
      <c r="CA308" s="3" t="str">
        <f t="shared" si="74"/>
        <v>Och-C-2</v>
      </c>
      <c r="CC308" s="3">
        <v>1.5</v>
      </c>
      <c r="CD308" s="10" t="s">
        <v>1395</v>
      </c>
      <c r="CE308" s="21" t="str">
        <f t="shared" si="70"/>
        <v>OcC0102904A</v>
      </c>
      <c r="CF308" s="21" t="str">
        <f t="shared" si="75"/>
        <v>Och-CBur_029_Ex1-4A-lcwgs-1-1</v>
      </c>
      <c r="CG308" s="3">
        <f t="shared" si="98"/>
        <v>0.16992049087426792</v>
      </c>
      <c r="CH308">
        <v>18009036</v>
      </c>
      <c r="CI308">
        <v>14542989</v>
      </c>
      <c r="CJ308" s="27" t="s">
        <v>79</v>
      </c>
      <c r="CK308" s="3">
        <v>2.1888591267042963</v>
      </c>
      <c r="CL308" s="3" t="s">
        <v>1611</v>
      </c>
      <c r="CM308" s="33" t="s">
        <v>1724</v>
      </c>
      <c r="CN308" s="3" t="str">
        <f>B308&amp;"-"&amp;Z308&amp;AA308&amp;"-lcwgs-"&amp;C308&amp;"-2"</f>
        <v>Och-CBur_029_Ex1-4A-lcwgs-1-2</v>
      </c>
      <c r="CR308"/>
    </row>
    <row r="309" spans="1:96" x14ac:dyDescent="0.55000000000000004">
      <c r="A309" s="10" t="s">
        <v>1284</v>
      </c>
      <c r="B309" t="str">
        <f t="shared" si="90"/>
        <v>Och-CBur_030_Ex1</v>
      </c>
      <c r="C309" s="3">
        <v>1</v>
      </c>
      <c r="E309" s="3" t="s">
        <v>1317</v>
      </c>
      <c r="F309" s="3">
        <v>6</v>
      </c>
      <c r="G309" s="3" t="s">
        <v>83</v>
      </c>
      <c r="H309">
        <v>4.1799488418360093</v>
      </c>
      <c r="I309" s="3" t="s">
        <v>74</v>
      </c>
      <c r="J309" s="3">
        <v>0.1</v>
      </c>
      <c r="K309" s="3">
        <v>7.25</v>
      </c>
      <c r="L309" s="3">
        <v>0.33</v>
      </c>
      <c r="O309" s="3">
        <v>100</v>
      </c>
      <c r="P309" s="3">
        <v>23.9237377738039</v>
      </c>
      <c r="R309" s="3">
        <v>10</v>
      </c>
      <c r="Z309">
        <v>4</v>
      </c>
      <c r="AA309" t="s">
        <v>92</v>
      </c>
      <c r="AB309" t="s">
        <v>1318</v>
      </c>
      <c r="AC309" s="3" t="s">
        <v>78</v>
      </c>
      <c r="AD309" s="3">
        <v>8</v>
      </c>
      <c r="AE309">
        <v>4</v>
      </c>
      <c r="AF309" t="s">
        <v>92</v>
      </c>
      <c r="AG309" t="s">
        <v>668</v>
      </c>
      <c r="AH309" s="17" t="s">
        <v>669</v>
      </c>
      <c r="AI309" t="s">
        <v>622</v>
      </c>
      <c r="AJ309" s="18" t="s">
        <v>623</v>
      </c>
      <c r="AO309" s="3">
        <v>7.5752461654989585</v>
      </c>
      <c r="AP309" s="3">
        <v>36</v>
      </c>
      <c r="AQ309" s="3">
        <f t="shared" si="71"/>
        <v>272.70886195796248</v>
      </c>
      <c r="BE309" s="3" t="s">
        <v>79</v>
      </c>
      <c r="BF309" s="3" t="s">
        <v>1320</v>
      </c>
      <c r="BG309" s="3" t="s">
        <v>416</v>
      </c>
      <c r="BH309" s="3" t="str">
        <f>AB309</f>
        <v>Och-CBur_LCWGS-libraries</v>
      </c>
      <c r="BI309" s="3" t="str">
        <f>AA309&amp;Z309</f>
        <v>H4</v>
      </c>
      <c r="BJ309" s="3" t="str">
        <f>BP309</f>
        <v>Och-TL2-DilutionPlate</v>
      </c>
      <c r="BK309" s="3" t="str">
        <f>BR309&amp;BQ309</f>
        <v>G2</v>
      </c>
      <c r="BL309" s="3">
        <v>1.5</v>
      </c>
      <c r="BM309" s="3">
        <v>2</v>
      </c>
      <c r="BN309" s="3">
        <f>AO309*BL309/BM309</f>
        <v>5.6814346241242184</v>
      </c>
      <c r="BO309" s="3">
        <f>BN309-BL309</f>
        <v>4.1814346241242184</v>
      </c>
      <c r="BP309" s="3" t="s">
        <v>1321</v>
      </c>
      <c r="BQ309">
        <v>2</v>
      </c>
      <c r="BR309" s="3" t="s">
        <v>91</v>
      </c>
      <c r="BX309" s="21" t="s">
        <v>1322</v>
      </c>
      <c r="BY309" s="3" t="str">
        <f t="shared" si="72"/>
        <v>Och-TL2-DilutionPlate</v>
      </c>
      <c r="BZ309" s="3" t="str">
        <f t="shared" si="73"/>
        <v>G2</v>
      </c>
      <c r="CA309" s="3" t="str">
        <f t="shared" si="74"/>
        <v>Och-C-2</v>
      </c>
      <c r="CC309" s="3">
        <v>1.5</v>
      </c>
      <c r="CD309" s="10" t="s">
        <v>1402</v>
      </c>
      <c r="CE309" s="21" t="str">
        <f t="shared" si="70"/>
        <v>OcC0103004H</v>
      </c>
      <c r="CF309" s="21" t="str">
        <f t="shared" si="75"/>
        <v>Och-CBur_030_Ex1-4H-lcwgs-1-1</v>
      </c>
      <c r="CG309" s="3">
        <f t="shared" si="98"/>
        <v>0.39602673424176432</v>
      </c>
      <c r="CH309">
        <v>15572735</v>
      </c>
      <c r="CI309">
        <v>12760337</v>
      </c>
      <c r="CJ309" s="27" t="s">
        <v>79</v>
      </c>
      <c r="CK309" s="3">
        <v>6.2045145819610363</v>
      </c>
      <c r="CL309" s="3" t="s">
        <v>1611</v>
      </c>
      <c r="CM309" s="33" t="s">
        <v>1725</v>
      </c>
      <c r="CN309" s="3" t="str">
        <f>B309&amp;"-"&amp;Z309&amp;AA309&amp;"-lcwgs-"&amp;C309&amp;"-2"</f>
        <v>Och-CBur_030_Ex1-4H-lcwgs-1-2</v>
      </c>
      <c r="CR309"/>
    </row>
    <row r="310" spans="1:96" x14ac:dyDescent="0.55000000000000004">
      <c r="A310" s="10" t="s">
        <v>1289</v>
      </c>
      <c r="B310" t="str">
        <f t="shared" si="90"/>
        <v>Och-CBur_031_Ex1</v>
      </c>
      <c r="C310" s="3">
        <v>1</v>
      </c>
      <c r="E310" s="3" t="s">
        <v>1317</v>
      </c>
      <c r="F310" s="3">
        <v>7</v>
      </c>
      <c r="G310" s="3" t="s">
        <v>83</v>
      </c>
      <c r="H310">
        <v>6.5674044337075461</v>
      </c>
      <c r="I310" s="3" t="s">
        <v>74</v>
      </c>
      <c r="J310" s="3">
        <v>0.1</v>
      </c>
      <c r="K310" s="3">
        <v>7.25</v>
      </c>
      <c r="L310" s="3">
        <v>0.33</v>
      </c>
      <c r="O310" s="3">
        <v>100</v>
      </c>
      <c r="P310" s="3">
        <v>15.226715669701226</v>
      </c>
      <c r="R310" s="3">
        <v>10</v>
      </c>
      <c r="Z310">
        <v>5</v>
      </c>
      <c r="AA310" t="s">
        <v>87</v>
      </c>
      <c r="AB310" t="s">
        <v>1318</v>
      </c>
      <c r="AC310" s="3" t="s">
        <v>78</v>
      </c>
      <c r="AD310" s="3">
        <v>8</v>
      </c>
      <c r="AE310">
        <v>5</v>
      </c>
      <c r="AF310" t="s">
        <v>87</v>
      </c>
      <c r="AG310" t="s">
        <v>662</v>
      </c>
      <c r="AH310" s="17" t="s">
        <v>663</v>
      </c>
      <c r="AI310" t="s">
        <v>624</v>
      </c>
      <c r="AJ310" s="18" t="s">
        <v>625</v>
      </c>
      <c r="AO310" s="3">
        <v>0.27104715016095438</v>
      </c>
      <c r="AP310" s="3">
        <v>36</v>
      </c>
      <c r="AQ310" s="3">
        <f t="shared" si="71"/>
        <v>9.7576974057943566</v>
      </c>
      <c r="BE310" s="3" t="s">
        <v>79</v>
      </c>
      <c r="BF310" s="3" t="s">
        <v>1320</v>
      </c>
      <c r="BG310" s="3" t="s">
        <v>186</v>
      </c>
      <c r="BH310" s="3" t="s">
        <v>186</v>
      </c>
      <c r="BI310" s="3" t="s">
        <v>186</v>
      </c>
      <c r="BJ310" s="3" t="s">
        <v>186</v>
      </c>
      <c r="BK310" s="3" t="s">
        <v>186</v>
      </c>
      <c r="BL310" s="3" t="s">
        <v>186</v>
      </c>
      <c r="BM310" s="3" t="s">
        <v>186</v>
      </c>
      <c r="BN310" s="3" t="s">
        <v>186</v>
      </c>
      <c r="BO310" s="3" t="s">
        <v>186</v>
      </c>
      <c r="BP310" s="3" t="s">
        <v>186</v>
      </c>
      <c r="BQ310" s="3" t="s">
        <v>186</v>
      </c>
      <c r="BR310" s="3" t="s">
        <v>186</v>
      </c>
      <c r="BS310" s="3" t="s">
        <v>186</v>
      </c>
      <c r="BT310" s="3" t="s">
        <v>186</v>
      </c>
      <c r="BU310" s="3" t="s">
        <v>186</v>
      </c>
      <c r="BV310" s="3" t="s">
        <v>186</v>
      </c>
      <c r="BW310" s="3" t="s">
        <v>186</v>
      </c>
      <c r="BX310" s="21" t="s">
        <v>1322</v>
      </c>
      <c r="BY310" s="3" t="str">
        <f t="shared" si="72"/>
        <v>Och-CBur_LCWGS-libraries</v>
      </c>
      <c r="BZ310" s="3" t="str">
        <f t="shared" si="73"/>
        <v>E5</v>
      </c>
      <c r="CA310" s="3" t="str">
        <f t="shared" si="74"/>
        <v>Och-C-2</v>
      </c>
      <c r="CC310" s="3">
        <v>1.5</v>
      </c>
      <c r="CD310" s="10" t="s">
        <v>1407</v>
      </c>
      <c r="CE310" s="21" t="str">
        <f t="shared" si="70"/>
        <v>OcC0103105E</v>
      </c>
      <c r="CF310" s="21" t="str">
        <f t="shared" si="75"/>
        <v>Och-CBur_031_Ex1-5E-lcwgs-1-1</v>
      </c>
      <c r="CG310" s="3">
        <f t="shared" si="98"/>
        <v>1.5</v>
      </c>
      <c r="CH310">
        <v>314506</v>
      </c>
      <c r="CI310">
        <v>265767</v>
      </c>
      <c r="CJ310" s="27" t="s">
        <v>185</v>
      </c>
      <c r="CK310" s="3">
        <v>0</v>
      </c>
      <c r="CM310" s="33"/>
    </row>
    <row r="311" spans="1:96" x14ac:dyDescent="0.55000000000000004">
      <c r="A311" s="10" t="s">
        <v>1294</v>
      </c>
      <c r="B311" t="str">
        <f t="shared" si="90"/>
        <v>Och-CBur_032_Ex1</v>
      </c>
      <c r="C311" s="3">
        <v>1</v>
      </c>
      <c r="E311" s="3" t="s">
        <v>1317</v>
      </c>
      <c r="F311" s="3">
        <v>8</v>
      </c>
      <c r="G311" s="3" t="s">
        <v>83</v>
      </c>
      <c r="H311">
        <v>7.0517407986357821</v>
      </c>
      <c r="I311" s="3" t="s">
        <v>74</v>
      </c>
      <c r="J311" s="3">
        <v>0.1</v>
      </c>
      <c r="K311" s="3">
        <v>7.25</v>
      </c>
      <c r="L311" s="3">
        <v>0.33</v>
      </c>
      <c r="O311" s="3">
        <v>100</v>
      </c>
      <c r="P311" s="3">
        <v>14.180895590964692</v>
      </c>
      <c r="R311" s="3">
        <v>10</v>
      </c>
      <c r="Z311">
        <v>6</v>
      </c>
      <c r="AA311" t="s">
        <v>76</v>
      </c>
      <c r="AB311" t="s">
        <v>1318</v>
      </c>
      <c r="AC311" s="3" t="s">
        <v>78</v>
      </c>
      <c r="AD311" s="3">
        <v>8</v>
      </c>
      <c r="AE311">
        <v>6</v>
      </c>
      <c r="AF311" t="s">
        <v>76</v>
      </c>
      <c r="AG311" t="s">
        <v>656</v>
      </c>
      <c r="AH311" s="17" t="s">
        <v>657</v>
      </c>
      <c r="AI311" t="s">
        <v>626</v>
      </c>
      <c r="AJ311" s="18" t="s">
        <v>627</v>
      </c>
      <c r="AO311" s="3">
        <v>13.574275705358835</v>
      </c>
      <c r="AP311" s="3">
        <v>36</v>
      </c>
      <c r="AQ311" s="3">
        <f t="shared" si="71"/>
        <v>488.67392539291802</v>
      </c>
      <c r="BE311" s="3" t="s">
        <v>79</v>
      </c>
      <c r="BF311" s="3" t="s">
        <v>1320</v>
      </c>
      <c r="BG311" s="3" t="s">
        <v>416</v>
      </c>
      <c r="BH311" s="3" t="str">
        <f t="shared" ref="BH311:BH317" si="99">AB311</f>
        <v>Och-CBur_LCWGS-libraries</v>
      </c>
      <c r="BI311" s="3" t="str">
        <f t="shared" ref="BI311:BI317" si="100">AA311&amp;Z311</f>
        <v>B6</v>
      </c>
      <c r="BJ311" s="3" t="str">
        <f t="shared" ref="BJ311:BJ317" si="101">BP311</f>
        <v>Och-TL2-DilutionPlate</v>
      </c>
      <c r="BK311" s="3" t="str">
        <f t="shared" ref="BK311:BK317" si="102">BR311&amp;BQ311</f>
        <v>C12</v>
      </c>
      <c r="BL311" s="3">
        <v>1.5</v>
      </c>
      <c r="BM311" s="3">
        <v>2</v>
      </c>
      <c r="BN311" s="3">
        <f t="shared" ref="BN311:BN317" si="103">AO311*BL311/BM311</f>
        <v>10.180706779019125</v>
      </c>
      <c r="BO311" s="3">
        <f t="shared" ref="BO311:BO317" si="104">BN311-BL311</f>
        <v>8.6807067790191255</v>
      </c>
      <c r="BP311" s="3" t="s">
        <v>1321</v>
      </c>
      <c r="BQ311">
        <v>12</v>
      </c>
      <c r="BR311" s="3" t="s">
        <v>83</v>
      </c>
      <c r="BX311" s="21" t="s">
        <v>1322</v>
      </c>
      <c r="BY311" s="3" t="str">
        <f t="shared" si="72"/>
        <v>Och-TL2-DilutionPlate</v>
      </c>
      <c r="BZ311" s="3" t="str">
        <f t="shared" si="73"/>
        <v>C12</v>
      </c>
      <c r="CA311" s="3" t="str">
        <f t="shared" si="74"/>
        <v>Och-C-2</v>
      </c>
      <c r="CC311" s="3">
        <v>1.5</v>
      </c>
      <c r="CD311" s="10" t="s">
        <v>1412</v>
      </c>
      <c r="CE311" s="21" t="str">
        <f t="shared" si="70"/>
        <v>OcC0103206B</v>
      </c>
      <c r="CF311" s="21" t="str">
        <f t="shared" si="75"/>
        <v>Och-CBur_032_Ex1-6B-lcwgs-1-1</v>
      </c>
      <c r="CG311" s="3">
        <f t="shared" si="98"/>
        <v>0.22100626693589728</v>
      </c>
      <c r="CH311">
        <v>10851846</v>
      </c>
      <c r="CI311">
        <v>9000510</v>
      </c>
      <c r="CJ311" s="27" t="s">
        <v>79</v>
      </c>
      <c r="CK311" s="3">
        <v>5.5602426911725491</v>
      </c>
      <c r="CL311" s="3" t="s">
        <v>1611</v>
      </c>
      <c r="CM311" s="33" t="s">
        <v>1726</v>
      </c>
      <c r="CN311" s="3" t="str">
        <f>B311&amp;"-"&amp;Z311&amp;AA311&amp;"-lcwgs-"&amp;C311&amp;"-2"</f>
        <v>Och-CBur_032_Ex1-6B-lcwgs-1-2</v>
      </c>
      <c r="CR311"/>
    </row>
    <row r="312" spans="1:96" x14ac:dyDescent="0.55000000000000004">
      <c r="A312" s="10" t="s">
        <v>1303</v>
      </c>
      <c r="B312" t="str">
        <f t="shared" si="90"/>
        <v>Och-CBur_034_Ex1</v>
      </c>
      <c r="C312" s="3">
        <v>1</v>
      </c>
      <c r="E312" s="3" t="s">
        <v>1317</v>
      </c>
      <c r="F312" s="3">
        <v>10</v>
      </c>
      <c r="G312" s="3" t="s">
        <v>83</v>
      </c>
      <c r="H312">
        <v>6.9304177916725873</v>
      </c>
      <c r="I312" s="3" t="s">
        <v>74</v>
      </c>
      <c r="J312" s="3">
        <v>0.1</v>
      </c>
      <c r="K312" s="3">
        <v>7.25</v>
      </c>
      <c r="L312" s="3">
        <v>0.33</v>
      </c>
      <c r="O312" s="3">
        <v>100</v>
      </c>
      <c r="P312" s="3">
        <v>14.429144534425824</v>
      </c>
      <c r="R312" s="3">
        <v>10</v>
      </c>
      <c r="Z312">
        <v>7</v>
      </c>
      <c r="AA312" t="s">
        <v>83</v>
      </c>
      <c r="AB312" t="s">
        <v>1318</v>
      </c>
      <c r="AC312" s="3" t="s">
        <v>78</v>
      </c>
      <c r="AD312" s="3">
        <v>8</v>
      </c>
      <c r="AE312">
        <v>7</v>
      </c>
      <c r="AF312" t="s">
        <v>83</v>
      </c>
      <c r="AG312" t="s">
        <v>658</v>
      </c>
      <c r="AH312" s="17" t="s">
        <v>659</v>
      </c>
      <c r="AI312" t="s">
        <v>628</v>
      </c>
      <c r="AJ312" s="18" t="s">
        <v>629</v>
      </c>
      <c r="AO312" s="3">
        <v>3.4293883734141257</v>
      </c>
      <c r="AP312" s="3">
        <v>36</v>
      </c>
      <c r="AQ312" s="3">
        <f t="shared" si="71"/>
        <v>123.45798144290853</v>
      </c>
      <c r="BE312" s="3" t="s">
        <v>79</v>
      </c>
      <c r="BF312" s="3" t="s">
        <v>1320</v>
      </c>
      <c r="BG312" s="3" t="s">
        <v>416</v>
      </c>
      <c r="BH312" s="3" t="str">
        <f t="shared" si="99"/>
        <v>Och-CBur_LCWGS-libraries</v>
      </c>
      <c r="BI312" s="3" t="str">
        <f t="shared" si="100"/>
        <v>C7</v>
      </c>
      <c r="BJ312" s="3" t="str">
        <f t="shared" si="101"/>
        <v>Och-TL2-DilutionPlate</v>
      </c>
      <c r="BK312" s="3" t="str">
        <f t="shared" si="102"/>
        <v>D7</v>
      </c>
      <c r="BL312" s="3">
        <v>1.5</v>
      </c>
      <c r="BM312" s="3">
        <v>2</v>
      </c>
      <c r="BN312" s="3">
        <f t="shared" si="103"/>
        <v>2.5720412800605943</v>
      </c>
      <c r="BO312" s="3">
        <f t="shared" si="104"/>
        <v>1.0720412800605943</v>
      </c>
      <c r="BP312" s="3" t="s">
        <v>1321</v>
      </c>
      <c r="BQ312">
        <v>7</v>
      </c>
      <c r="BR312" s="3" t="s">
        <v>84</v>
      </c>
      <c r="BX312" s="21" t="s">
        <v>1322</v>
      </c>
      <c r="BY312" s="3" t="str">
        <f t="shared" si="72"/>
        <v>Och-TL2-DilutionPlate</v>
      </c>
      <c r="BZ312" s="3" t="str">
        <f t="shared" si="73"/>
        <v>D7</v>
      </c>
      <c r="CA312" s="3" t="str">
        <f t="shared" si="74"/>
        <v>Och-C-2</v>
      </c>
      <c r="CC312" s="3">
        <v>1.5</v>
      </c>
      <c r="CD312" s="10" t="s">
        <v>1421</v>
      </c>
      <c r="CE312" s="21" t="str">
        <f t="shared" si="70"/>
        <v>OcC0103407C</v>
      </c>
      <c r="CF312" s="21" t="str">
        <f t="shared" si="75"/>
        <v>Och-CBur_034_Ex1-7C-lcwgs-1-1</v>
      </c>
      <c r="CG312" s="3">
        <f t="shared" si="98"/>
        <v>0.87479155853478086</v>
      </c>
      <c r="CH312">
        <v>10845741</v>
      </c>
      <c r="CI312">
        <v>8981939</v>
      </c>
      <c r="CJ312" s="27" t="s">
        <v>185</v>
      </c>
      <c r="CK312" s="3">
        <v>0</v>
      </c>
      <c r="CM312" s="33"/>
    </row>
    <row r="313" spans="1:96" x14ac:dyDescent="0.55000000000000004">
      <c r="A313" s="10" t="s">
        <v>1308</v>
      </c>
      <c r="B313" t="str">
        <f t="shared" si="90"/>
        <v>Och-CBur_035_Ex1</v>
      </c>
      <c r="C313" s="3">
        <v>1</v>
      </c>
      <c r="E313" s="3" t="s">
        <v>1317</v>
      </c>
      <c r="F313" s="3">
        <v>11</v>
      </c>
      <c r="G313" s="3" t="s">
        <v>83</v>
      </c>
      <c r="H313">
        <v>5.6857183458860305</v>
      </c>
      <c r="I313" s="3" t="s">
        <v>74</v>
      </c>
      <c r="J313" s="3">
        <v>0.1</v>
      </c>
      <c r="K313" s="3">
        <v>7.25</v>
      </c>
      <c r="L313" s="3">
        <v>0.33</v>
      </c>
      <c r="O313" s="3">
        <v>100</v>
      </c>
      <c r="P313" s="3">
        <v>17.587927138943876</v>
      </c>
      <c r="R313" s="3">
        <v>10</v>
      </c>
      <c r="Z313">
        <v>7</v>
      </c>
      <c r="AA313" t="s">
        <v>92</v>
      </c>
      <c r="AB313" t="s">
        <v>1318</v>
      </c>
      <c r="AC313" s="3" t="s">
        <v>78</v>
      </c>
      <c r="AD313" s="3">
        <v>8</v>
      </c>
      <c r="AE313">
        <v>7</v>
      </c>
      <c r="AF313" t="s">
        <v>92</v>
      </c>
      <c r="AG313" t="s">
        <v>668</v>
      </c>
      <c r="AH313" s="17" t="s">
        <v>669</v>
      </c>
      <c r="AI313" t="s">
        <v>628</v>
      </c>
      <c r="AJ313" s="18" t="s">
        <v>629</v>
      </c>
      <c r="AO313" s="3">
        <v>4.2163558038250333</v>
      </c>
      <c r="AP313" s="3">
        <v>36</v>
      </c>
      <c r="AQ313" s="3">
        <f t="shared" si="71"/>
        <v>151.78880893770119</v>
      </c>
      <c r="BE313" s="3" t="s">
        <v>79</v>
      </c>
      <c r="BF313" s="3" t="s">
        <v>1320</v>
      </c>
      <c r="BG313" s="3" t="s">
        <v>416</v>
      </c>
      <c r="BH313" s="3" t="str">
        <f t="shared" si="99"/>
        <v>Och-CBur_LCWGS-libraries</v>
      </c>
      <c r="BI313" s="3" t="str">
        <f t="shared" si="100"/>
        <v>H7</v>
      </c>
      <c r="BJ313" s="3" t="str">
        <f t="shared" si="101"/>
        <v>Och-TL2-DilutionPlate</v>
      </c>
      <c r="BK313" s="3" t="str">
        <f t="shared" si="102"/>
        <v>G4</v>
      </c>
      <c r="BL313" s="3">
        <v>1.5</v>
      </c>
      <c r="BM313" s="3">
        <v>2</v>
      </c>
      <c r="BN313" s="3">
        <f t="shared" si="103"/>
        <v>3.162266852868775</v>
      </c>
      <c r="BO313" s="3">
        <f t="shared" si="104"/>
        <v>1.662266852868775</v>
      </c>
      <c r="BP313" s="3" t="s">
        <v>1321</v>
      </c>
      <c r="BQ313">
        <v>4</v>
      </c>
      <c r="BR313" s="3" t="s">
        <v>91</v>
      </c>
      <c r="BX313" s="21" t="s">
        <v>1322</v>
      </c>
      <c r="BY313" s="3" t="str">
        <f t="shared" si="72"/>
        <v>Och-TL2-DilutionPlate</v>
      </c>
      <c r="BZ313" s="3" t="str">
        <f t="shared" si="73"/>
        <v>G4</v>
      </c>
      <c r="CA313" s="3" t="str">
        <f t="shared" si="74"/>
        <v>Och-C-2</v>
      </c>
      <c r="CC313" s="3">
        <v>1.5</v>
      </c>
      <c r="CD313" s="10" t="s">
        <v>1426</v>
      </c>
      <c r="CE313" s="21" t="str">
        <f t="shared" si="70"/>
        <v>OcC0103507H</v>
      </c>
      <c r="CF313" s="21" t="str">
        <f t="shared" si="75"/>
        <v>Och-CBur_035_Ex1-7H-lcwgs-1-1</v>
      </c>
      <c r="CG313" s="3">
        <f t="shared" si="98"/>
        <v>0.71151490518860672</v>
      </c>
      <c r="CH313">
        <v>11573477</v>
      </c>
      <c r="CI313">
        <v>9405959</v>
      </c>
      <c r="CJ313" s="27" t="s">
        <v>79</v>
      </c>
      <c r="CK313" s="3">
        <v>16.912817806945142</v>
      </c>
      <c r="CL313" s="3" t="s">
        <v>1611</v>
      </c>
      <c r="CM313" s="33" t="s">
        <v>1727</v>
      </c>
      <c r="CN313" s="3" t="str">
        <f>B313&amp;"-"&amp;Z313&amp;AA313&amp;"-lcwgs-"&amp;C313&amp;"-2"</f>
        <v>Och-CBur_035_Ex1-7H-lcwgs-1-2</v>
      </c>
      <c r="CR313"/>
    </row>
    <row r="314" spans="1:96" x14ac:dyDescent="0.55000000000000004">
      <c r="A314" s="10" t="s">
        <v>1255</v>
      </c>
      <c r="B314" t="str">
        <f t="shared" si="90"/>
        <v>Och-CBur_037_Ex1</v>
      </c>
      <c r="C314" s="3">
        <v>1</v>
      </c>
      <c r="E314" s="3" t="s">
        <v>1317</v>
      </c>
      <c r="F314" s="3">
        <v>1</v>
      </c>
      <c r="G314" s="3" t="s">
        <v>84</v>
      </c>
      <c r="H314">
        <v>7.2882087537302827</v>
      </c>
      <c r="I314" s="3" t="s">
        <v>74</v>
      </c>
      <c r="J314" s="3">
        <v>0.1</v>
      </c>
      <c r="K314" s="3">
        <v>7.25</v>
      </c>
      <c r="L314" s="3">
        <v>0.33</v>
      </c>
      <c r="O314" s="3">
        <v>100</v>
      </c>
      <c r="P314" s="3">
        <v>13.720792499092122</v>
      </c>
      <c r="R314" s="3">
        <v>10</v>
      </c>
      <c r="Z314">
        <v>1</v>
      </c>
      <c r="AA314" t="s">
        <v>83</v>
      </c>
      <c r="AB314" t="s">
        <v>1318</v>
      </c>
      <c r="AC314" s="3" t="s">
        <v>78</v>
      </c>
      <c r="AD314" s="3">
        <v>8</v>
      </c>
      <c r="AE314">
        <v>1</v>
      </c>
      <c r="AF314" t="s">
        <v>83</v>
      </c>
      <c r="AG314" t="s">
        <v>658</v>
      </c>
      <c r="AH314" s="17" t="s">
        <v>659</v>
      </c>
      <c r="AI314" t="s">
        <v>616</v>
      </c>
      <c r="AJ314" s="18" t="s">
        <v>617</v>
      </c>
      <c r="AO314" s="3">
        <v>11.140697784510511</v>
      </c>
      <c r="AP314" s="3">
        <v>36</v>
      </c>
      <c r="AQ314" s="3">
        <f t="shared" si="71"/>
        <v>401.06512024237838</v>
      </c>
      <c r="BE314" s="3" t="s">
        <v>79</v>
      </c>
      <c r="BF314" s="3" t="s">
        <v>1320</v>
      </c>
      <c r="BG314" s="3" t="s">
        <v>416</v>
      </c>
      <c r="BH314" s="3" t="str">
        <f t="shared" si="99"/>
        <v>Och-CBur_LCWGS-libraries</v>
      </c>
      <c r="BI314" s="3" t="str">
        <f t="shared" si="100"/>
        <v>C1</v>
      </c>
      <c r="BJ314" s="3" t="str">
        <f t="shared" si="101"/>
        <v>Och-TL2-DilutionPlate</v>
      </c>
      <c r="BK314" s="3" t="str">
        <f t="shared" si="102"/>
        <v>D3</v>
      </c>
      <c r="BL314" s="3">
        <v>1.5</v>
      </c>
      <c r="BM314" s="3">
        <v>2</v>
      </c>
      <c r="BN314" s="3">
        <f t="shared" si="103"/>
        <v>8.3555233383828842</v>
      </c>
      <c r="BO314" s="3">
        <f t="shared" si="104"/>
        <v>6.8555233383828842</v>
      </c>
      <c r="BP314" s="3" t="s">
        <v>1321</v>
      </c>
      <c r="BQ314">
        <v>3</v>
      </c>
      <c r="BR314" s="3" t="s">
        <v>84</v>
      </c>
      <c r="BX314" s="21" t="s">
        <v>1322</v>
      </c>
      <c r="BY314" s="3" t="str">
        <f t="shared" si="72"/>
        <v>Och-TL2-DilutionPlate</v>
      </c>
      <c r="BZ314" s="3" t="str">
        <f t="shared" si="73"/>
        <v>D3</v>
      </c>
      <c r="CA314" s="3" t="str">
        <f t="shared" si="74"/>
        <v>Och-C-2</v>
      </c>
      <c r="CC314" s="3">
        <v>1.5</v>
      </c>
      <c r="CD314" s="10" t="s">
        <v>1373</v>
      </c>
      <c r="CE314" s="21" t="str">
        <f t="shared" si="70"/>
        <v>OcC0103701C</v>
      </c>
      <c r="CF314" s="21" t="str">
        <f t="shared" si="75"/>
        <v>Och-CBur_037_Ex1-1C-lcwgs-1-1</v>
      </c>
      <c r="CG314" s="3">
        <f t="shared" si="98"/>
        <v>0.26928295318907719</v>
      </c>
      <c r="CH314">
        <v>10576715</v>
      </c>
      <c r="CI314">
        <v>8744757</v>
      </c>
      <c r="CJ314" s="27" t="s">
        <v>79</v>
      </c>
      <c r="CK314" s="3">
        <v>7.0285277947999631</v>
      </c>
      <c r="CL314" s="3" t="s">
        <v>1611</v>
      </c>
      <c r="CM314" s="33" t="s">
        <v>1728</v>
      </c>
      <c r="CN314" s="3" t="str">
        <f>B314&amp;"-"&amp;Z314&amp;AA314&amp;"-lcwgs-"&amp;C314&amp;"-2"</f>
        <v>Och-CBur_037_Ex1-1C-lcwgs-1-2</v>
      </c>
      <c r="CR314"/>
    </row>
    <row r="315" spans="1:96" x14ac:dyDescent="0.55000000000000004">
      <c r="A315" s="10" t="s">
        <v>1261</v>
      </c>
      <c r="B315" t="str">
        <f t="shared" si="90"/>
        <v>Och-CBur_038_Ex1</v>
      </c>
      <c r="C315" s="3">
        <v>1</v>
      </c>
      <c r="E315" s="3" t="s">
        <v>1317</v>
      </c>
      <c r="F315" s="3">
        <v>2</v>
      </c>
      <c r="G315" s="3" t="s">
        <v>84</v>
      </c>
      <c r="H315">
        <v>4.0188432570697739</v>
      </c>
      <c r="I315" s="3" t="s">
        <v>74</v>
      </c>
      <c r="J315" s="3">
        <v>0.1</v>
      </c>
      <c r="K315" s="3">
        <v>7.25</v>
      </c>
      <c r="L315" s="3">
        <v>0.33</v>
      </c>
      <c r="O315" s="3">
        <v>100</v>
      </c>
      <c r="P315" s="3">
        <v>24.882781836311818</v>
      </c>
      <c r="R315" s="3">
        <v>10</v>
      </c>
      <c r="Z315">
        <v>2</v>
      </c>
      <c r="AA315" t="s">
        <v>73</v>
      </c>
      <c r="AB315" t="s">
        <v>1318</v>
      </c>
      <c r="AC315" s="3" t="s">
        <v>78</v>
      </c>
      <c r="AD315" s="3">
        <v>8</v>
      </c>
      <c r="AE315">
        <v>2</v>
      </c>
      <c r="AF315" t="s">
        <v>73</v>
      </c>
      <c r="AG315" t="s">
        <v>652</v>
      </c>
      <c r="AH315" s="17" t="s">
        <v>653</v>
      </c>
      <c r="AI315" t="s">
        <v>618</v>
      </c>
      <c r="AJ315" s="18" t="s">
        <v>619</v>
      </c>
      <c r="AO315" s="3">
        <v>13.394712175724294</v>
      </c>
      <c r="AP315" s="3">
        <v>36</v>
      </c>
      <c r="AQ315" s="3">
        <f t="shared" si="71"/>
        <v>482.20963832607458</v>
      </c>
      <c r="BE315" s="3" t="s">
        <v>79</v>
      </c>
      <c r="BF315" s="3" t="s">
        <v>1320</v>
      </c>
      <c r="BG315" s="3" t="s">
        <v>416</v>
      </c>
      <c r="BH315" s="3" t="str">
        <f t="shared" si="99"/>
        <v>Och-CBur_LCWGS-libraries</v>
      </c>
      <c r="BI315" s="3" t="str">
        <f t="shared" si="100"/>
        <v>A2</v>
      </c>
      <c r="BJ315" s="3" t="str">
        <f t="shared" si="101"/>
        <v>Och-TL2-DilutionPlate</v>
      </c>
      <c r="BK315" s="3" t="str">
        <f t="shared" si="102"/>
        <v>C2</v>
      </c>
      <c r="BL315" s="3">
        <v>1.5</v>
      </c>
      <c r="BM315" s="3">
        <v>2</v>
      </c>
      <c r="BN315" s="3">
        <f t="shared" si="103"/>
        <v>10.04603413179322</v>
      </c>
      <c r="BO315" s="3">
        <f t="shared" si="104"/>
        <v>8.5460341317932205</v>
      </c>
      <c r="BP315" s="3" t="s">
        <v>1321</v>
      </c>
      <c r="BQ315">
        <v>2</v>
      </c>
      <c r="BR315" s="3" t="s">
        <v>83</v>
      </c>
      <c r="BX315" s="21" t="s">
        <v>1322</v>
      </c>
      <c r="BY315" s="3" t="str">
        <f t="shared" si="72"/>
        <v>Och-TL2-DilutionPlate</v>
      </c>
      <c r="BZ315" s="3" t="str">
        <f t="shared" si="73"/>
        <v>C2</v>
      </c>
      <c r="CA315" s="3" t="str">
        <f t="shared" si="74"/>
        <v>Och-C-2</v>
      </c>
      <c r="CC315" s="3">
        <v>1.5</v>
      </c>
      <c r="CD315" s="10" t="s">
        <v>1379</v>
      </c>
      <c r="CE315" s="21" t="str">
        <f t="shared" si="70"/>
        <v>OcC0103802A</v>
      </c>
      <c r="CF315" s="21" t="str">
        <f t="shared" si="75"/>
        <v>Och-CBur_038_Ex1-2A-lcwgs-1-1</v>
      </c>
      <c r="CG315" s="3">
        <f t="shared" si="98"/>
        <v>0.2239689782537474</v>
      </c>
      <c r="CH315">
        <v>16281115</v>
      </c>
      <c r="CI315">
        <v>13301502</v>
      </c>
      <c r="CJ315" s="27" t="s">
        <v>79</v>
      </c>
      <c r="CK315" s="3">
        <v>3.3018554541660472</v>
      </c>
      <c r="CL315" s="3" t="s">
        <v>1611</v>
      </c>
      <c r="CM315" s="33" t="s">
        <v>1729</v>
      </c>
      <c r="CN315" s="3" t="str">
        <f>B315&amp;"-"&amp;Z315&amp;AA315&amp;"-lcwgs-"&amp;C315&amp;"-2"</f>
        <v>Och-CBur_038_Ex1-2A-lcwgs-1-2</v>
      </c>
      <c r="CR315"/>
    </row>
    <row r="316" spans="1:96" x14ac:dyDescent="0.55000000000000004">
      <c r="A316" s="10" t="s">
        <v>1271</v>
      </c>
      <c r="B316" t="str">
        <f t="shared" si="90"/>
        <v>Och-CBur_040_Ex1</v>
      </c>
      <c r="C316" s="3">
        <v>1</v>
      </c>
      <c r="E316" s="3" t="s">
        <v>1317</v>
      </c>
      <c r="F316" s="3">
        <v>4</v>
      </c>
      <c r="G316" s="3" t="s">
        <v>84</v>
      </c>
      <c r="H316">
        <v>6.5964828762256635</v>
      </c>
      <c r="I316" s="3" t="s">
        <v>74</v>
      </c>
      <c r="J316" s="3">
        <v>0.1</v>
      </c>
      <c r="K316" s="3">
        <v>7.25</v>
      </c>
      <c r="L316" s="3">
        <v>0.33</v>
      </c>
      <c r="O316" s="3">
        <v>100</v>
      </c>
      <c r="P316" s="3">
        <v>15.159593661708618</v>
      </c>
      <c r="R316" s="3">
        <v>10</v>
      </c>
      <c r="Z316">
        <v>3</v>
      </c>
      <c r="AA316" t="s">
        <v>83</v>
      </c>
      <c r="AB316" t="s">
        <v>1318</v>
      </c>
      <c r="AC316" s="3" t="s">
        <v>78</v>
      </c>
      <c r="AD316" s="3">
        <v>8</v>
      </c>
      <c r="AE316">
        <v>3</v>
      </c>
      <c r="AF316" t="s">
        <v>83</v>
      </c>
      <c r="AG316" t="s">
        <v>658</v>
      </c>
      <c r="AH316" s="17" t="s">
        <v>659</v>
      </c>
      <c r="AI316" t="s">
        <v>620</v>
      </c>
      <c r="AJ316" s="18" t="s">
        <v>621</v>
      </c>
      <c r="AO316" s="3">
        <v>5.4333790948683962</v>
      </c>
      <c r="AP316" s="3">
        <v>36</v>
      </c>
      <c r="AQ316" s="3">
        <f t="shared" si="71"/>
        <v>195.60164741526228</v>
      </c>
      <c r="BE316" s="3" t="s">
        <v>79</v>
      </c>
      <c r="BF316" s="3" t="s">
        <v>1320</v>
      </c>
      <c r="BG316" s="3" t="s">
        <v>416</v>
      </c>
      <c r="BH316" s="3" t="str">
        <f t="shared" si="99"/>
        <v>Och-CBur_LCWGS-libraries</v>
      </c>
      <c r="BI316" s="3" t="str">
        <f t="shared" si="100"/>
        <v>C3</v>
      </c>
      <c r="BJ316" s="3" t="str">
        <f t="shared" si="101"/>
        <v>Och-TL2-DilutionPlate</v>
      </c>
      <c r="BK316" s="3" t="str">
        <f t="shared" si="102"/>
        <v>D5</v>
      </c>
      <c r="BL316" s="3">
        <v>1.5</v>
      </c>
      <c r="BM316" s="3">
        <v>2</v>
      </c>
      <c r="BN316" s="3">
        <f t="shared" si="103"/>
        <v>4.0750343211512972</v>
      </c>
      <c r="BO316" s="3">
        <f t="shared" si="104"/>
        <v>2.5750343211512972</v>
      </c>
      <c r="BP316" s="3" t="s">
        <v>1321</v>
      </c>
      <c r="BQ316">
        <v>5</v>
      </c>
      <c r="BR316" s="3" t="s">
        <v>84</v>
      </c>
      <c r="BX316" s="21" t="s">
        <v>1322</v>
      </c>
      <c r="BY316" s="3" t="str">
        <f t="shared" si="72"/>
        <v>Och-TL2-DilutionPlate</v>
      </c>
      <c r="BZ316" s="3" t="str">
        <f t="shared" si="73"/>
        <v>D5</v>
      </c>
      <c r="CA316" s="3" t="str">
        <f t="shared" si="74"/>
        <v>Och-C-2</v>
      </c>
      <c r="CC316" s="3">
        <v>1.5</v>
      </c>
      <c r="CD316" s="10" t="s">
        <v>1389</v>
      </c>
      <c r="CE316" s="21" t="str">
        <f t="shared" ref="CE316:CE379" si="105">CD316&amp;TEXT(Z316,"00")&amp;AA316</f>
        <v>OcC0104003C</v>
      </c>
      <c r="CF316" s="21" t="str">
        <f t="shared" si="75"/>
        <v>Och-CBur_040_Ex1-3C-lcwgs-1-1</v>
      </c>
      <c r="CG316" s="3">
        <f t="shared" si="98"/>
        <v>0.55214258891550139</v>
      </c>
      <c r="CH316">
        <v>11633850</v>
      </c>
      <c r="CI316">
        <v>9538600</v>
      </c>
      <c r="CJ316" s="27" t="s">
        <v>79</v>
      </c>
      <c r="CK316" s="3">
        <v>12.88783795781457</v>
      </c>
      <c r="CL316" s="3" t="s">
        <v>1611</v>
      </c>
      <c r="CM316" s="33" t="s">
        <v>1730</v>
      </c>
      <c r="CN316" s="3" t="str">
        <f>B316&amp;"-"&amp;Z316&amp;AA316&amp;"-lcwgs-"&amp;C316&amp;"-2"</f>
        <v>Och-CBur_040_Ex1-3C-lcwgs-1-2</v>
      </c>
      <c r="CR316"/>
    </row>
    <row r="317" spans="1:96" x14ac:dyDescent="0.55000000000000004">
      <c r="A317" s="10" t="s">
        <v>1278</v>
      </c>
      <c r="B317" t="str">
        <f t="shared" si="90"/>
        <v>Och-CBur_041_Ex1</v>
      </c>
      <c r="C317" s="3">
        <v>1</v>
      </c>
      <c r="E317" s="3" t="s">
        <v>1317</v>
      </c>
      <c r="F317" s="3">
        <v>5</v>
      </c>
      <c r="G317" s="3" t="s">
        <v>84</v>
      </c>
      <c r="H317">
        <v>3.7483267017194821</v>
      </c>
      <c r="I317" s="3" t="s">
        <v>74</v>
      </c>
      <c r="J317" s="3">
        <v>0.1</v>
      </c>
      <c r="K317" s="3">
        <v>7.25</v>
      </c>
      <c r="L317" s="3">
        <v>0.33</v>
      </c>
      <c r="O317" s="3">
        <v>100</v>
      </c>
      <c r="P317" s="3">
        <v>26.678570988523138</v>
      </c>
      <c r="R317" s="3">
        <v>10</v>
      </c>
      <c r="Z317">
        <v>4</v>
      </c>
      <c r="AA317" t="s">
        <v>76</v>
      </c>
      <c r="AB317" t="s">
        <v>1318</v>
      </c>
      <c r="AC317" s="3" t="s">
        <v>78</v>
      </c>
      <c r="AD317" s="3">
        <v>8</v>
      </c>
      <c r="AE317">
        <v>4</v>
      </c>
      <c r="AF317" t="s">
        <v>76</v>
      </c>
      <c r="AG317" t="s">
        <v>656</v>
      </c>
      <c r="AH317" s="17" t="s">
        <v>657</v>
      </c>
      <c r="AI317" t="s">
        <v>622</v>
      </c>
      <c r="AJ317" s="18" t="s">
        <v>623</v>
      </c>
      <c r="AO317" s="3">
        <v>5.4362573376254488</v>
      </c>
      <c r="AP317" s="3">
        <v>36</v>
      </c>
      <c r="AQ317" s="3">
        <f t="shared" si="71"/>
        <v>195.70526415451616</v>
      </c>
      <c r="BE317" s="3" t="s">
        <v>79</v>
      </c>
      <c r="BF317" s="3" t="s">
        <v>1320</v>
      </c>
      <c r="BG317" s="3" t="s">
        <v>416</v>
      </c>
      <c r="BH317" s="3" t="str">
        <f t="shared" si="99"/>
        <v>Och-CBur_LCWGS-libraries</v>
      </c>
      <c r="BI317" s="3" t="str">
        <f t="shared" si="100"/>
        <v>B4</v>
      </c>
      <c r="BJ317" s="3" t="str">
        <f t="shared" si="101"/>
        <v>Och-TL2-DilutionPlate</v>
      </c>
      <c r="BK317" s="3" t="str">
        <f t="shared" si="102"/>
        <v>C11</v>
      </c>
      <c r="BL317" s="3">
        <v>1.5</v>
      </c>
      <c r="BM317" s="3">
        <v>2</v>
      </c>
      <c r="BN317" s="3">
        <f t="shared" si="103"/>
        <v>4.0771930032190866</v>
      </c>
      <c r="BO317" s="3">
        <f t="shared" si="104"/>
        <v>2.5771930032190866</v>
      </c>
      <c r="BP317" s="3" t="s">
        <v>1321</v>
      </c>
      <c r="BQ317">
        <v>11</v>
      </c>
      <c r="BR317" s="3" t="s">
        <v>83</v>
      </c>
      <c r="BX317" s="21" t="s">
        <v>1322</v>
      </c>
      <c r="BY317" s="3" t="str">
        <f t="shared" si="72"/>
        <v>Och-TL2-DilutionPlate</v>
      </c>
      <c r="BZ317" s="3" t="str">
        <f t="shared" si="73"/>
        <v>C11</v>
      </c>
      <c r="CA317" s="3" t="str">
        <f t="shared" si="74"/>
        <v>Och-C-2</v>
      </c>
      <c r="CC317" s="3">
        <v>1.5</v>
      </c>
      <c r="CD317" s="10" t="s">
        <v>1396</v>
      </c>
      <c r="CE317" s="21" t="str">
        <f t="shared" si="105"/>
        <v>OcC0104104B</v>
      </c>
      <c r="CF317" s="21" t="str">
        <f t="shared" si="75"/>
        <v>Och-CBur_041_Ex1-4B-lcwgs-1-1</v>
      </c>
      <c r="CG317" s="3">
        <f t="shared" si="98"/>
        <v>0.55185025536528343</v>
      </c>
      <c r="CH317">
        <v>9196111</v>
      </c>
      <c r="CI317">
        <v>7527794</v>
      </c>
      <c r="CJ317" s="27" t="s">
        <v>79</v>
      </c>
      <c r="CK317" s="3">
        <v>17.361769494379558</v>
      </c>
      <c r="CL317" s="3" t="s">
        <v>1611</v>
      </c>
      <c r="CM317" s="33" t="s">
        <v>1731</v>
      </c>
      <c r="CN317" s="3" t="str">
        <f>B317&amp;"-"&amp;Z317&amp;AA317&amp;"-lcwgs-"&amp;C317&amp;"-2"</f>
        <v>Och-CBur_041_Ex1-4B-lcwgs-1-2</v>
      </c>
      <c r="CR317"/>
    </row>
    <row r="318" spans="1:96" x14ac:dyDescent="0.55000000000000004">
      <c r="A318" s="10" t="s">
        <v>1285</v>
      </c>
      <c r="B318" t="str">
        <f t="shared" si="90"/>
        <v>Och-CBur_042_Ex1</v>
      </c>
      <c r="C318" s="3">
        <v>1</v>
      </c>
      <c r="E318" s="3" t="s">
        <v>1317</v>
      </c>
      <c r="F318" s="3">
        <v>6</v>
      </c>
      <c r="G318" s="3" t="s">
        <v>84</v>
      </c>
      <c r="H318">
        <v>6.2985860451897109</v>
      </c>
      <c r="I318" s="3" t="s">
        <v>74</v>
      </c>
      <c r="J318" s="3">
        <v>0.1</v>
      </c>
      <c r="K318" s="3">
        <v>7.25</v>
      </c>
      <c r="L318" s="3">
        <v>0.33</v>
      </c>
      <c r="O318" s="3">
        <v>100</v>
      </c>
      <c r="P318" s="3">
        <v>15.876579169124939</v>
      </c>
      <c r="R318" s="3">
        <v>10</v>
      </c>
      <c r="Z318">
        <v>5</v>
      </c>
      <c r="AA318" t="s">
        <v>73</v>
      </c>
      <c r="AB318" t="s">
        <v>1318</v>
      </c>
      <c r="AC318" s="3" t="s">
        <v>78</v>
      </c>
      <c r="AD318" s="3">
        <v>8</v>
      </c>
      <c r="AE318">
        <v>5</v>
      </c>
      <c r="AF318" t="s">
        <v>73</v>
      </c>
      <c r="AG318" t="s">
        <v>652</v>
      </c>
      <c r="AH318" s="17" t="s">
        <v>653</v>
      </c>
      <c r="AI318" t="s">
        <v>624</v>
      </c>
      <c r="AJ318" s="18" t="s">
        <v>625</v>
      </c>
      <c r="AO318" s="3">
        <v>0.10623934860821814</v>
      </c>
      <c r="AP318" s="3">
        <v>36</v>
      </c>
      <c r="AQ318" s="3">
        <f t="shared" si="71"/>
        <v>3.8246165498958531</v>
      </c>
      <c r="BE318" s="3" t="s">
        <v>79</v>
      </c>
      <c r="BF318" s="3" t="s">
        <v>1320</v>
      </c>
      <c r="BG318" s="3" t="s">
        <v>186</v>
      </c>
      <c r="BH318" s="3" t="s">
        <v>186</v>
      </c>
      <c r="BI318" s="3" t="s">
        <v>186</v>
      </c>
      <c r="BJ318" s="3" t="s">
        <v>186</v>
      </c>
      <c r="BK318" s="3" t="s">
        <v>186</v>
      </c>
      <c r="BL318" s="3" t="s">
        <v>186</v>
      </c>
      <c r="BM318" s="3" t="s">
        <v>186</v>
      </c>
      <c r="BN318" s="3" t="s">
        <v>186</v>
      </c>
      <c r="BO318" s="3" t="s">
        <v>186</v>
      </c>
      <c r="BP318" s="3" t="s">
        <v>186</v>
      </c>
      <c r="BQ318" s="3" t="s">
        <v>186</v>
      </c>
      <c r="BR318" s="3" t="s">
        <v>186</v>
      </c>
      <c r="BS318" s="3" t="s">
        <v>186</v>
      </c>
      <c r="BT318" s="3" t="s">
        <v>186</v>
      </c>
      <c r="BU318" s="3" t="s">
        <v>186</v>
      </c>
      <c r="BV318" s="3" t="s">
        <v>186</v>
      </c>
      <c r="BW318" s="3" t="s">
        <v>186</v>
      </c>
      <c r="BX318" s="21" t="s">
        <v>1322</v>
      </c>
      <c r="BY318" s="3" t="str">
        <f t="shared" si="72"/>
        <v>Och-CBur_LCWGS-libraries</v>
      </c>
      <c r="BZ318" s="3" t="str">
        <f t="shared" si="73"/>
        <v>A5</v>
      </c>
      <c r="CA318" s="3" t="str">
        <f t="shared" si="74"/>
        <v>Och-C-2</v>
      </c>
      <c r="CC318" s="3">
        <v>1.5</v>
      </c>
      <c r="CD318" s="10" t="s">
        <v>1403</v>
      </c>
      <c r="CE318" s="21" t="str">
        <f t="shared" si="105"/>
        <v>OcC0104205A</v>
      </c>
      <c r="CF318" s="21" t="str">
        <f t="shared" si="75"/>
        <v>Och-CBur_042_Ex1-5A-lcwgs-1-1</v>
      </c>
      <c r="CG318" s="3">
        <f t="shared" si="98"/>
        <v>1.5</v>
      </c>
      <c r="CH318">
        <v>131987</v>
      </c>
      <c r="CI318">
        <v>114639</v>
      </c>
      <c r="CJ318" s="27" t="s">
        <v>185</v>
      </c>
      <c r="CK318" s="3">
        <v>0</v>
      </c>
      <c r="CM318" s="33"/>
    </row>
    <row r="319" spans="1:96" x14ac:dyDescent="0.55000000000000004">
      <c r="A319" s="10" t="s">
        <v>1290</v>
      </c>
      <c r="B319" t="str">
        <f t="shared" si="90"/>
        <v>Och-CBur_043_Ex1</v>
      </c>
      <c r="C319" s="3">
        <v>1</v>
      </c>
      <c r="E319" s="3" t="s">
        <v>1317</v>
      </c>
      <c r="F319" s="3">
        <v>7</v>
      </c>
      <c r="G319" s="3" t="s">
        <v>84</v>
      </c>
      <c r="H319">
        <v>3.9265631661219267</v>
      </c>
      <c r="I319" s="3" t="s">
        <v>74</v>
      </c>
      <c r="J319" s="3">
        <v>0.1</v>
      </c>
      <c r="K319" s="3">
        <v>7.25</v>
      </c>
      <c r="L319" s="3">
        <v>0.33</v>
      </c>
      <c r="O319" s="3">
        <v>100</v>
      </c>
      <c r="P319" s="3">
        <v>25.467564322609658</v>
      </c>
      <c r="R319" s="3">
        <v>10</v>
      </c>
      <c r="Z319">
        <v>5</v>
      </c>
      <c r="AA319" t="s">
        <v>88</v>
      </c>
      <c r="AB319" t="s">
        <v>1318</v>
      </c>
      <c r="AC319" s="3" t="s">
        <v>78</v>
      </c>
      <c r="AD319" s="3">
        <v>8</v>
      </c>
      <c r="AE319">
        <v>5</v>
      </c>
      <c r="AF319" t="s">
        <v>88</v>
      </c>
      <c r="AG319" t="s">
        <v>664</v>
      </c>
      <c r="AH319" s="17" t="s">
        <v>665</v>
      </c>
      <c r="AI319" t="s">
        <v>624</v>
      </c>
      <c r="AJ319" s="18" t="s">
        <v>625</v>
      </c>
      <c r="AO319" s="3">
        <v>0.37265669380799088</v>
      </c>
      <c r="AP319" s="3">
        <v>36</v>
      </c>
      <c r="AQ319" s="3">
        <f t="shared" si="71"/>
        <v>13.415640977087671</v>
      </c>
      <c r="BE319" s="3" t="s">
        <v>79</v>
      </c>
      <c r="BF319" s="3" t="s">
        <v>1320</v>
      </c>
      <c r="BG319" s="3" t="s">
        <v>186</v>
      </c>
      <c r="BH319" s="3" t="s">
        <v>186</v>
      </c>
      <c r="BI319" s="3" t="s">
        <v>186</v>
      </c>
      <c r="BJ319" s="3" t="s">
        <v>186</v>
      </c>
      <c r="BK319" s="3" t="s">
        <v>186</v>
      </c>
      <c r="BL319" s="3" t="s">
        <v>186</v>
      </c>
      <c r="BM319" s="3" t="s">
        <v>186</v>
      </c>
      <c r="BN319" s="3" t="s">
        <v>186</v>
      </c>
      <c r="BO319" s="3" t="s">
        <v>186</v>
      </c>
      <c r="BP319" s="3" t="s">
        <v>186</v>
      </c>
      <c r="BQ319" s="3" t="s">
        <v>186</v>
      </c>
      <c r="BR319" s="3" t="s">
        <v>186</v>
      </c>
      <c r="BS319" s="3" t="s">
        <v>186</v>
      </c>
      <c r="BT319" s="3" t="s">
        <v>186</v>
      </c>
      <c r="BU319" s="3" t="s">
        <v>186</v>
      </c>
      <c r="BV319" s="3" t="s">
        <v>186</v>
      </c>
      <c r="BW319" s="3" t="s">
        <v>186</v>
      </c>
      <c r="BX319" s="21" t="s">
        <v>1322</v>
      </c>
      <c r="BY319" s="3" t="str">
        <f t="shared" si="72"/>
        <v>Och-CBur_LCWGS-libraries</v>
      </c>
      <c r="BZ319" s="3" t="str">
        <f t="shared" si="73"/>
        <v>F5</v>
      </c>
      <c r="CA319" s="3" t="str">
        <f t="shared" si="74"/>
        <v>Och-C-2</v>
      </c>
      <c r="CC319" s="3">
        <v>1.5</v>
      </c>
      <c r="CD319" s="10" t="s">
        <v>1408</v>
      </c>
      <c r="CE319" s="21" t="str">
        <f t="shared" si="105"/>
        <v>OcC0104305F</v>
      </c>
      <c r="CF319" s="21" t="str">
        <f t="shared" si="75"/>
        <v>Och-CBur_043_Ex1-5F-lcwgs-1-1</v>
      </c>
      <c r="CG319" s="3">
        <f t="shared" si="98"/>
        <v>1.5</v>
      </c>
      <c r="CH319">
        <v>2309433</v>
      </c>
      <c r="CI319">
        <v>1855866</v>
      </c>
      <c r="CJ319" s="27" t="s">
        <v>185</v>
      </c>
      <c r="CK319" s="3">
        <v>0</v>
      </c>
      <c r="CM319" s="33"/>
    </row>
    <row r="320" spans="1:96" x14ac:dyDescent="0.55000000000000004">
      <c r="A320" s="10" t="s">
        <v>1295</v>
      </c>
      <c r="B320" t="str">
        <f t="shared" si="90"/>
        <v>Och-CBur_044_Ex1</v>
      </c>
      <c r="C320" s="3">
        <v>1</v>
      </c>
      <c r="E320" s="3" t="s">
        <v>1317</v>
      </c>
      <c r="F320" s="3">
        <v>8</v>
      </c>
      <c r="G320" s="3" t="s">
        <v>84</v>
      </c>
      <c r="H320">
        <v>3.8157950831320164</v>
      </c>
      <c r="I320" s="3" t="s">
        <v>74</v>
      </c>
      <c r="J320" s="3">
        <v>0.1</v>
      </c>
      <c r="K320" s="3">
        <v>7.25</v>
      </c>
      <c r="L320" s="3">
        <v>0.33</v>
      </c>
      <c r="O320" s="3">
        <v>100</v>
      </c>
      <c r="P320" s="3">
        <v>26.206858026013201</v>
      </c>
      <c r="R320" s="3">
        <v>10</v>
      </c>
      <c r="Z320">
        <v>6</v>
      </c>
      <c r="AA320" t="s">
        <v>83</v>
      </c>
      <c r="AB320" t="s">
        <v>1318</v>
      </c>
      <c r="AC320" s="3" t="s">
        <v>78</v>
      </c>
      <c r="AD320" s="3">
        <v>8</v>
      </c>
      <c r="AE320">
        <v>6</v>
      </c>
      <c r="AF320" t="s">
        <v>83</v>
      </c>
      <c r="AG320" t="s">
        <v>658</v>
      </c>
      <c r="AH320" s="17" t="s">
        <v>659</v>
      </c>
      <c r="AI320" t="s">
        <v>626</v>
      </c>
      <c r="AJ320" s="18" t="s">
        <v>627</v>
      </c>
      <c r="AO320" s="3">
        <v>0.72562961560310546</v>
      </c>
      <c r="AP320" s="3">
        <v>36</v>
      </c>
      <c r="AQ320" s="3">
        <f t="shared" si="71"/>
        <v>26.122666161711798</v>
      </c>
      <c r="BE320" s="3" t="s">
        <v>79</v>
      </c>
      <c r="BF320" s="3" t="s">
        <v>1320</v>
      </c>
      <c r="BG320" s="3" t="s">
        <v>186</v>
      </c>
      <c r="BH320" s="3" t="s">
        <v>186</v>
      </c>
      <c r="BI320" s="3" t="s">
        <v>186</v>
      </c>
      <c r="BJ320" s="3" t="s">
        <v>186</v>
      </c>
      <c r="BK320" s="3" t="s">
        <v>186</v>
      </c>
      <c r="BL320" s="3" t="s">
        <v>186</v>
      </c>
      <c r="BM320" s="3" t="s">
        <v>186</v>
      </c>
      <c r="BN320" s="3" t="s">
        <v>186</v>
      </c>
      <c r="BO320" s="3" t="s">
        <v>186</v>
      </c>
      <c r="BP320" s="3" t="s">
        <v>186</v>
      </c>
      <c r="BQ320" s="3" t="s">
        <v>186</v>
      </c>
      <c r="BR320" s="3" t="s">
        <v>186</v>
      </c>
      <c r="BS320" s="3" t="s">
        <v>186</v>
      </c>
      <c r="BT320" s="3" t="s">
        <v>186</v>
      </c>
      <c r="BU320" s="3" t="s">
        <v>186</v>
      </c>
      <c r="BV320" s="3" t="s">
        <v>186</v>
      </c>
      <c r="BW320" s="3" t="s">
        <v>186</v>
      </c>
      <c r="BX320" s="21" t="s">
        <v>1322</v>
      </c>
      <c r="BY320" s="3" t="str">
        <f t="shared" si="72"/>
        <v>Och-CBur_LCWGS-libraries</v>
      </c>
      <c r="BZ320" s="3" t="str">
        <f t="shared" si="73"/>
        <v>C6</v>
      </c>
      <c r="CA320" s="3" t="str">
        <f t="shared" si="74"/>
        <v>Och-C-2</v>
      </c>
      <c r="CC320" s="3">
        <v>1.5</v>
      </c>
      <c r="CD320" s="10" t="s">
        <v>1413</v>
      </c>
      <c r="CE320" s="21" t="str">
        <f t="shared" si="105"/>
        <v>OcC0104406C</v>
      </c>
      <c r="CF320" s="21" t="str">
        <f t="shared" si="75"/>
        <v>Och-CBur_044_Ex1-6C-lcwgs-1-1</v>
      </c>
      <c r="CG320" s="3">
        <f t="shared" si="98"/>
        <v>1.5</v>
      </c>
      <c r="CH320">
        <v>2196264</v>
      </c>
      <c r="CI320">
        <v>1526592</v>
      </c>
      <c r="CJ320" s="27" t="s">
        <v>185</v>
      </c>
      <c r="CK320" s="3">
        <v>0</v>
      </c>
      <c r="CM320" s="33"/>
    </row>
    <row r="321" spans="1:96" x14ac:dyDescent="0.55000000000000004">
      <c r="A321" s="10" t="s">
        <v>1299</v>
      </c>
      <c r="B321" t="str">
        <f t="shared" si="90"/>
        <v>Och-CBur_045_Ex1</v>
      </c>
      <c r="C321" s="3">
        <v>1</v>
      </c>
      <c r="E321" s="3" t="s">
        <v>1317</v>
      </c>
      <c r="F321" s="3">
        <v>9</v>
      </c>
      <c r="G321" s="3" t="s">
        <v>84</v>
      </c>
      <c r="H321">
        <v>5.9974278811993749</v>
      </c>
      <c r="I321" s="3" t="s">
        <v>74</v>
      </c>
      <c r="J321" s="3">
        <v>0.1</v>
      </c>
      <c r="K321" s="3">
        <v>7.25</v>
      </c>
      <c r="L321" s="3">
        <v>0.33</v>
      </c>
      <c r="O321" s="3">
        <v>100</v>
      </c>
      <c r="P321" s="3">
        <v>16.673814505294533</v>
      </c>
      <c r="R321" s="3">
        <v>10</v>
      </c>
      <c r="Z321">
        <v>6</v>
      </c>
      <c r="AA321" t="s">
        <v>91</v>
      </c>
      <c r="AB321" t="s">
        <v>1318</v>
      </c>
      <c r="AC321" s="3" t="s">
        <v>78</v>
      </c>
      <c r="AD321" s="3">
        <v>8</v>
      </c>
      <c r="AE321">
        <v>6</v>
      </c>
      <c r="AF321" t="s">
        <v>91</v>
      </c>
      <c r="AG321" t="s">
        <v>666</v>
      </c>
      <c r="AH321" s="17" t="s">
        <v>667</v>
      </c>
      <c r="AI321" t="s">
        <v>626</v>
      </c>
      <c r="AJ321" s="18" t="s">
        <v>627</v>
      </c>
      <c r="AO321" s="3">
        <v>12.721544215110775</v>
      </c>
      <c r="AP321" s="3">
        <v>36</v>
      </c>
      <c r="AQ321" s="3">
        <f t="shared" si="71"/>
        <v>457.97559174398793</v>
      </c>
      <c r="BE321" s="3" t="s">
        <v>79</v>
      </c>
      <c r="BF321" s="3" t="s">
        <v>1320</v>
      </c>
      <c r="BG321" s="3" t="s">
        <v>416</v>
      </c>
      <c r="BH321" s="3" t="str">
        <f t="shared" ref="BH321:BH326" si="106">AB321</f>
        <v>Och-CBur_LCWGS-libraries</v>
      </c>
      <c r="BI321" s="3" t="str">
        <f t="shared" ref="BI321:BI326" si="107">AA321&amp;Z321</f>
        <v>G6</v>
      </c>
      <c r="BJ321" s="3" t="str">
        <f t="shared" ref="BJ321:BJ326" si="108">BP321</f>
        <v>Och-TL2-DilutionPlate</v>
      </c>
      <c r="BK321" s="3" t="str">
        <f t="shared" ref="BK321:BK326" si="109">BR321&amp;BQ321</f>
        <v>F9</v>
      </c>
      <c r="BL321" s="3">
        <v>1.5</v>
      </c>
      <c r="BM321" s="3">
        <v>2</v>
      </c>
      <c r="BN321" s="3">
        <f t="shared" ref="BN321:BN326" si="110">AO321*BL321/BM321</f>
        <v>9.5411581613330814</v>
      </c>
      <c r="BO321" s="3">
        <f t="shared" ref="BO321:BO326" si="111">BN321-BL321</f>
        <v>8.0411581613330814</v>
      </c>
      <c r="BP321" s="3" t="s">
        <v>1321</v>
      </c>
      <c r="BQ321">
        <v>9</v>
      </c>
      <c r="BR321" s="3" t="s">
        <v>88</v>
      </c>
      <c r="BX321" s="21" t="s">
        <v>1322</v>
      </c>
      <c r="BY321" s="3" t="str">
        <f t="shared" si="72"/>
        <v>Och-TL2-DilutionPlate</v>
      </c>
      <c r="BZ321" s="3" t="str">
        <f t="shared" si="73"/>
        <v>F9</v>
      </c>
      <c r="CA321" s="3" t="str">
        <f t="shared" si="74"/>
        <v>Och-C-2</v>
      </c>
      <c r="CC321" s="3">
        <v>1.5</v>
      </c>
      <c r="CD321" s="10" t="s">
        <v>1417</v>
      </c>
      <c r="CE321" s="21" t="str">
        <f t="shared" si="105"/>
        <v>OcC0104506G</v>
      </c>
      <c r="CF321" s="21" t="str">
        <f t="shared" si="75"/>
        <v>Och-CBur_045_Ex1-6G-lcwgs-1-1</v>
      </c>
      <c r="CG321" s="3">
        <f t="shared" si="98"/>
        <v>0.23582042787200083</v>
      </c>
      <c r="CH321">
        <v>6149460</v>
      </c>
      <c r="CI321">
        <v>5040812</v>
      </c>
      <c r="CJ321" s="27" t="s">
        <v>79</v>
      </c>
      <c r="CK321" s="3">
        <v>11.900387885601374</v>
      </c>
      <c r="CL321" s="3" t="s">
        <v>1611</v>
      </c>
      <c r="CM321" s="33" t="s">
        <v>1732</v>
      </c>
      <c r="CN321" s="3" t="str">
        <f>B321&amp;"-"&amp;Z321&amp;AA321&amp;"-lcwgs-"&amp;C321&amp;"-2"</f>
        <v>Och-CBur_045_Ex1-6G-lcwgs-1-2</v>
      </c>
      <c r="CR321"/>
    </row>
    <row r="322" spans="1:96" x14ac:dyDescent="0.55000000000000004">
      <c r="A322" s="10" t="s">
        <v>1309</v>
      </c>
      <c r="B322" t="str">
        <f t="shared" si="90"/>
        <v>Och-CBur_047_Ex1</v>
      </c>
      <c r="C322" s="3">
        <v>1</v>
      </c>
      <c r="E322" s="3" t="s">
        <v>1317</v>
      </c>
      <c r="F322" s="3">
        <v>11</v>
      </c>
      <c r="G322" s="3" t="s">
        <v>84</v>
      </c>
      <c r="H322">
        <v>6.4788723888020456</v>
      </c>
      <c r="I322" s="3" t="s">
        <v>74</v>
      </c>
      <c r="J322" s="3">
        <v>0.1</v>
      </c>
      <c r="K322" s="3">
        <v>7.25</v>
      </c>
      <c r="L322" s="3">
        <v>0.33</v>
      </c>
      <c r="O322" s="3">
        <v>100</v>
      </c>
      <c r="P322" s="3">
        <v>15.43478463518405</v>
      </c>
      <c r="R322" s="3">
        <v>10</v>
      </c>
      <c r="Z322">
        <v>8</v>
      </c>
      <c r="AA322" t="s">
        <v>73</v>
      </c>
      <c r="AB322" t="s">
        <v>1318</v>
      </c>
      <c r="AC322" s="3" t="s">
        <v>78</v>
      </c>
      <c r="AD322" s="3">
        <v>8</v>
      </c>
      <c r="AE322">
        <v>8</v>
      </c>
      <c r="AF322" t="s">
        <v>73</v>
      </c>
      <c r="AG322" t="s">
        <v>652</v>
      </c>
      <c r="AH322" s="17" t="s">
        <v>653</v>
      </c>
      <c r="AI322" t="s">
        <v>630</v>
      </c>
      <c r="AJ322" s="18" t="s">
        <v>631</v>
      </c>
      <c r="AO322" s="3">
        <v>7.1830997917061161</v>
      </c>
      <c r="AP322" s="3">
        <v>36</v>
      </c>
      <c r="AQ322" s="3">
        <f t="shared" ref="AQ322:AQ385" si="112">AO322*AP322</f>
        <v>258.59159250142017</v>
      </c>
      <c r="BE322" s="3" t="s">
        <v>79</v>
      </c>
      <c r="BF322" s="3" t="s">
        <v>1320</v>
      </c>
      <c r="BG322" s="3" t="s">
        <v>416</v>
      </c>
      <c r="BH322" s="3" t="str">
        <f t="shared" si="106"/>
        <v>Och-CBur_LCWGS-libraries</v>
      </c>
      <c r="BI322" s="3" t="str">
        <f t="shared" si="107"/>
        <v>A8</v>
      </c>
      <c r="BJ322" s="3" t="str">
        <f t="shared" si="108"/>
        <v>Och-TL2-DilutionPlate</v>
      </c>
      <c r="BK322" s="3" t="str">
        <f t="shared" si="109"/>
        <v>C7</v>
      </c>
      <c r="BL322" s="3">
        <v>1.5</v>
      </c>
      <c r="BM322" s="3">
        <v>2</v>
      </c>
      <c r="BN322" s="3">
        <f t="shared" si="110"/>
        <v>5.3873248437795871</v>
      </c>
      <c r="BO322" s="3">
        <f t="shared" si="111"/>
        <v>3.8873248437795871</v>
      </c>
      <c r="BP322" s="3" t="s">
        <v>1321</v>
      </c>
      <c r="BQ322">
        <v>7</v>
      </c>
      <c r="BR322" s="3" t="s">
        <v>83</v>
      </c>
      <c r="BX322" s="21" t="s">
        <v>1322</v>
      </c>
      <c r="BY322" s="3" t="str">
        <f t="shared" si="72"/>
        <v>Och-TL2-DilutionPlate</v>
      </c>
      <c r="BZ322" s="3" t="str">
        <f t="shared" si="73"/>
        <v>C7</v>
      </c>
      <c r="CA322" s="3" t="str">
        <f t="shared" si="74"/>
        <v>Och-C-2</v>
      </c>
      <c r="CC322" s="3">
        <v>1.5</v>
      </c>
      <c r="CD322" s="10" t="s">
        <v>1427</v>
      </c>
      <c r="CE322" s="21" t="str">
        <f t="shared" si="105"/>
        <v>OcC0104708A</v>
      </c>
      <c r="CF322" s="21" t="str">
        <f t="shared" si="75"/>
        <v>Och-CBur_047_Ex1-8A-lcwgs-1-1</v>
      </c>
      <c r="CG322" s="3">
        <f t="shared" si="98"/>
        <v>0.41764698904279679</v>
      </c>
      <c r="CH322">
        <v>8992321</v>
      </c>
      <c r="CI322">
        <v>7447913</v>
      </c>
      <c r="CJ322" s="27" t="s">
        <v>79</v>
      </c>
      <c r="CK322" s="3">
        <v>13.312127663760499</v>
      </c>
      <c r="CL322" s="3" t="s">
        <v>1611</v>
      </c>
      <c r="CM322" s="33" t="s">
        <v>1733</v>
      </c>
      <c r="CN322" s="3" t="str">
        <f>B322&amp;"-"&amp;Z322&amp;AA322&amp;"-lcwgs-"&amp;C322&amp;"-2"</f>
        <v>Och-CBur_047_Ex1-8A-lcwgs-1-2</v>
      </c>
      <c r="CR322"/>
    </row>
    <row r="323" spans="1:96" x14ac:dyDescent="0.55000000000000004">
      <c r="A323" s="10" t="s">
        <v>1256</v>
      </c>
      <c r="B323" t="str">
        <f t="shared" si="90"/>
        <v>Och-CBur_049_Ex1</v>
      </c>
      <c r="C323" s="3">
        <v>1</v>
      </c>
      <c r="E323" s="3" t="s">
        <v>1317</v>
      </c>
      <c r="F323" s="3">
        <v>1</v>
      </c>
      <c r="G323" s="3" t="s">
        <v>87</v>
      </c>
      <c r="H323">
        <v>3.7482023589597837</v>
      </c>
      <c r="I323" s="3" t="s">
        <v>74</v>
      </c>
      <c r="J323" s="3">
        <v>0.1</v>
      </c>
      <c r="K323" s="3">
        <v>7.25</v>
      </c>
      <c r="L323" s="3">
        <v>0.33</v>
      </c>
      <c r="O323" s="3">
        <v>100</v>
      </c>
      <c r="P323" s="3">
        <v>26.679456022687209</v>
      </c>
      <c r="R323" s="3">
        <v>10</v>
      </c>
      <c r="Z323">
        <v>1</v>
      </c>
      <c r="AA323" t="s">
        <v>84</v>
      </c>
      <c r="AB323" t="s">
        <v>1318</v>
      </c>
      <c r="AC323" s="3" t="s">
        <v>78</v>
      </c>
      <c r="AD323" s="3">
        <v>8</v>
      </c>
      <c r="AE323">
        <v>1</v>
      </c>
      <c r="AF323" t="s">
        <v>84</v>
      </c>
      <c r="AG323" t="s">
        <v>660</v>
      </c>
      <c r="AH323" s="17" t="s">
        <v>661</v>
      </c>
      <c r="AI323" t="s">
        <v>616</v>
      </c>
      <c r="AJ323" s="18" t="s">
        <v>617</v>
      </c>
      <c r="AO323" s="3">
        <v>9.60959572050748</v>
      </c>
      <c r="AP323" s="3">
        <v>36</v>
      </c>
      <c r="AQ323" s="3">
        <f t="shared" si="112"/>
        <v>345.9454459382693</v>
      </c>
      <c r="BE323" s="3" t="s">
        <v>79</v>
      </c>
      <c r="BF323" s="3" t="s">
        <v>1320</v>
      </c>
      <c r="BG323" s="3" t="s">
        <v>416</v>
      </c>
      <c r="BH323" s="3" t="str">
        <f t="shared" si="106"/>
        <v>Och-CBur_LCWGS-libraries</v>
      </c>
      <c r="BI323" s="3" t="str">
        <f t="shared" si="107"/>
        <v>D1</v>
      </c>
      <c r="BJ323" s="3" t="str">
        <f t="shared" si="108"/>
        <v>Och-TL2-DilutionPlate</v>
      </c>
      <c r="BK323" s="3" t="str">
        <f t="shared" si="109"/>
        <v>D9</v>
      </c>
      <c r="BL323" s="3">
        <v>1.5</v>
      </c>
      <c r="BM323" s="3">
        <v>2</v>
      </c>
      <c r="BN323" s="3">
        <f t="shared" si="110"/>
        <v>7.2071967903806105</v>
      </c>
      <c r="BO323" s="3">
        <f t="shared" si="111"/>
        <v>5.7071967903806105</v>
      </c>
      <c r="BP323" s="3" t="s">
        <v>1321</v>
      </c>
      <c r="BQ323">
        <v>9</v>
      </c>
      <c r="BR323" s="3" t="s">
        <v>84</v>
      </c>
      <c r="BX323" s="21" t="s">
        <v>1322</v>
      </c>
      <c r="BY323" s="3" t="str">
        <f t="shared" si="72"/>
        <v>Och-TL2-DilutionPlate</v>
      </c>
      <c r="BZ323" s="3" t="str">
        <f t="shared" si="73"/>
        <v>D9</v>
      </c>
      <c r="CA323" s="3" t="str">
        <f t="shared" si="74"/>
        <v>Och-C-2</v>
      </c>
      <c r="CC323" s="3">
        <v>1.5</v>
      </c>
      <c r="CD323" s="10" t="s">
        <v>1374</v>
      </c>
      <c r="CE323" s="21" t="str">
        <f t="shared" si="105"/>
        <v>OcC0104901D</v>
      </c>
      <c r="CF323" s="21" t="str">
        <f t="shared" si="75"/>
        <v>Och-CBur_049_Ex1-1D-lcwgs-1-1</v>
      </c>
      <c r="CG323" s="3">
        <f t="shared" si="98"/>
        <v>0.31218795121607579</v>
      </c>
      <c r="CH323">
        <v>9531114</v>
      </c>
      <c r="CI323">
        <v>7984583</v>
      </c>
      <c r="CJ323" s="27" t="s">
        <v>79</v>
      </c>
      <c r="CK323" s="3">
        <v>9.1338521515098137</v>
      </c>
      <c r="CL323" s="3" t="s">
        <v>1611</v>
      </c>
      <c r="CM323" s="33" t="s">
        <v>1734</v>
      </c>
      <c r="CN323" s="3" t="str">
        <f>B323&amp;"-"&amp;Z323&amp;AA323&amp;"-lcwgs-"&amp;C323&amp;"-2"</f>
        <v>Och-CBur_049_Ex1-1D-lcwgs-1-2</v>
      </c>
      <c r="CR323"/>
    </row>
    <row r="324" spans="1:96" x14ac:dyDescent="0.55000000000000004">
      <c r="A324" s="10" t="s">
        <v>1266</v>
      </c>
      <c r="B324" t="str">
        <f t="shared" si="90"/>
        <v>Och-CBur_051_Ex1</v>
      </c>
      <c r="C324" s="3">
        <v>1</v>
      </c>
      <c r="E324" s="3" t="s">
        <v>1317</v>
      </c>
      <c r="F324" s="3">
        <v>3</v>
      </c>
      <c r="G324" s="3" t="s">
        <v>87</v>
      </c>
      <c r="H324">
        <v>4.9846241296006815</v>
      </c>
      <c r="I324" s="3" t="s">
        <v>74</v>
      </c>
      <c r="J324" s="3">
        <v>0.1</v>
      </c>
      <c r="K324" s="3">
        <v>7.25</v>
      </c>
      <c r="L324" s="3">
        <v>0.33</v>
      </c>
      <c r="O324" s="3">
        <v>100</v>
      </c>
      <c r="P324" s="3">
        <v>20.061693198923507</v>
      </c>
      <c r="R324" s="3">
        <v>10</v>
      </c>
      <c r="Z324">
        <v>2</v>
      </c>
      <c r="AA324" t="s">
        <v>88</v>
      </c>
      <c r="AB324" t="s">
        <v>1318</v>
      </c>
      <c r="AC324" s="3" t="s">
        <v>78</v>
      </c>
      <c r="AD324" s="3">
        <v>8</v>
      </c>
      <c r="AE324">
        <v>2</v>
      </c>
      <c r="AF324" t="s">
        <v>88</v>
      </c>
      <c r="AG324" t="s">
        <v>664</v>
      </c>
      <c r="AH324" s="17" t="s">
        <v>665</v>
      </c>
      <c r="AI324" t="s">
        <v>618</v>
      </c>
      <c r="AJ324" s="18" t="s">
        <v>619</v>
      </c>
      <c r="AO324" s="3">
        <v>7.6382929369437598</v>
      </c>
      <c r="AP324" s="3">
        <v>36</v>
      </c>
      <c r="AQ324" s="3">
        <f t="shared" si="112"/>
        <v>274.97854572997534</v>
      </c>
      <c r="BE324" s="3" t="s">
        <v>79</v>
      </c>
      <c r="BF324" s="3" t="s">
        <v>1320</v>
      </c>
      <c r="BG324" s="3" t="s">
        <v>416</v>
      </c>
      <c r="BH324" s="3" t="str">
        <f t="shared" si="106"/>
        <v>Och-CBur_LCWGS-libraries</v>
      </c>
      <c r="BI324" s="3" t="str">
        <f t="shared" si="107"/>
        <v>F2</v>
      </c>
      <c r="BJ324" s="3" t="str">
        <f t="shared" si="108"/>
        <v>Och-TL2-DilutionPlate</v>
      </c>
      <c r="BK324" s="3" t="str">
        <f t="shared" si="109"/>
        <v>E11</v>
      </c>
      <c r="BL324" s="3">
        <v>1.5</v>
      </c>
      <c r="BM324" s="3">
        <v>2</v>
      </c>
      <c r="BN324" s="3">
        <f t="shared" si="110"/>
        <v>5.7287197027078198</v>
      </c>
      <c r="BO324" s="3">
        <f t="shared" si="111"/>
        <v>4.2287197027078198</v>
      </c>
      <c r="BP324" s="3" t="s">
        <v>1321</v>
      </c>
      <c r="BQ324">
        <v>11</v>
      </c>
      <c r="BR324" s="3" t="s">
        <v>87</v>
      </c>
      <c r="BX324" s="21" t="s">
        <v>1322</v>
      </c>
      <c r="BY324" s="3" t="str">
        <f t="shared" si="72"/>
        <v>Och-TL2-DilutionPlate</v>
      </c>
      <c r="BZ324" s="3" t="str">
        <f t="shared" si="73"/>
        <v>E11</v>
      </c>
      <c r="CA324" s="3" t="str">
        <f t="shared" si="74"/>
        <v>Och-C-2</v>
      </c>
      <c r="CC324" s="3">
        <v>1.5</v>
      </c>
      <c r="CD324" s="10" t="s">
        <v>1384</v>
      </c>
      <c r="CE324" s="21" t="str">
        <f t="shared" si="105"/>
        <v>OcC0105102F</v>
      </c>
      <c r="CF324" s="21" t="str">
        <f t="shared" si="75"/>
        <v>Och-CBur_051_Ex1-2F-lcwgs-1-1</v>
      </c>
      <c r="CG324" s="3">
        <f t="shared" si="98"/>
        <v>0.39275791394305476</v>
      </c>
      <c r="CH324">
        <v>12694562</v>
      </c>
      <c r="CI324">
        <v>10452480</v>
      </c>
      <c r="CJ324" s="27" t="s">
        <v>79</v>
      </c>
      <c r="CK324" s="3">
        <v>8.1237480830622975</v>
      </c>
      <c r="CL324" s="3" t="s">
        <v>1611</v>
      </c>
      <c r="CM324" s="33" t="s">
        <v>1735</v>
      </c>
      <c r="CN324" s="3" t="str">
        <f>B324&amp;"-"&amp;Z324&amp;AA324&amp;"-lcwgs-"&amp;C324&amp;"-2"</f>
        <v>Och-CBur_051_Ex1-2F-lcwgs-1-2</v>
      </c>
      <c r="CR324"/>
    </row>
    <row r="325" spans="1:96" x14ac:dyDescent="0.55000000000000004">
      <c r="A325" s="10" t="s">
        <v>1272</v>
      </c>
      <c r="B325" t="str">
        <f t="shared" si="90"/>
        <v>Och-CBur_052_Ex1</v>
      </c>
      <c r="C325" s="3">
        <v>1</v>
      </c>
      <c r="E325" s="3" t="s">
        <v>1317</v>
      </c>
      <c r="F325" s="3">
        <v>4</v>
      </c>
      <c r="G325" s="3" t="s">
        <v>87</v>
      </c>
      <c r="H325">
        <v>5.5777675145658661</v>
      </c>
      <c r="I325" s="3" t="s">
        <v>74</v>
      </c>
      <c r="J325" s="3">
        <v>0.1</v>
      </c>
      <c r="K325" s="3">
        <v>7.25</v>
      </c>
      <c r="L325" s="3">
        <v>0.33</v>
      </c>
      <c r="O325" s="3">
        <v>100</v>
      </c>
      <c r="P325" s="3">
        <v>17.928319841022148</v>
      </c>
      <c r="R325" s="3">
        <v>10</v>
      </c>
      <c r="Z325">
        <v>3</v>
      </c>
      <c r="AA325" t="s">
        <v>84</v>
      </c>
      <c r="AB325" t="s">
        <v>1318</v>
      </c>
      <c r="AC325" s="3" t="s">
        <v>78</v>
      </c>
      <c r="AD325" s="3">
        <v>8</v>
      </c>
      <c r="AE325">
        <v>3</v>
      </c>
      <c r="AF325" t="s">
        <v>84</v>
      </c>
      <c r="AG325" t="s">
        <v>660</v>
      </c>
      <c r="AH325" s="17" t="s">
        <v>661</v>
      </c>
      <c r="AI325" t="s">
        <v>620</v>
      </c>
      <c r="AJ325" s="18" t="s">
        <v>621</v>
      </c>
      <c r="AO325" s="3">
        <v>4.3884396894527544</v>
      </c>
      <c r="AP325" s="3">
        <v>36</v>
      </c>
      <c r="AQ325" s="3">
        <f t="shared" si="112"/>
        <v>157.98382882029915</v>
      </c>
      <c r="BE325" s="3" t="s">
        <v>79</v>
      </c>
      <c r="BF325" s="3" t="s">
        <v>1320</v>
      </c>
      <c r="BG325" s="3" t="s">
        <v>416</v>
      </c>
      <c r="BH325" s="3" t="str">
        <f t="shared" si="106"/>
        <v>Och-CBur_LCWGS-libraries</v>
      </c>
      <c r="BI325" s="3" t="str">
        <f t="shared" si="107"/>
        <v>D3</v>
      </c>
      <c r="BJ325" s="3" t="str">
        <f t="shared" si="108"/>
        <v>Och-TL2-DilutionPlate</v>
      </c>
      <c r="BK325" s="3" t="str">
        <f t="shared" si="109"/>
        <v>D11</v>
      </c>
      <c r="BL325" s="3">
        <v>1.5</v>
      </c>
      <c r="BM325" s="3">
        <v>2</v>
      </c>
      <c r="BN325" s="3">
        <f t="shared" si="110"/>
        <v>3.2913297670895658</v>
      </c>
      <c r="BO325" s="3">
        <f t="shared" si="111"/>
        <v>1.7913297670895658</v>
      </c>
      <c r="BP325" s="3" t="s">
        <v>1321</v>
      </c>
      <c r="BQ325">
        <v>11</v>
      </c>
      <c r="BR325" s="3" t="s">
        <v>84</v>
      </c>
      <c r="BX325" s="21" t="s">
        <v>1322</v>
      </c>
      <c r="BY325" s="3" t="str">
        <f t="shared" si="72"/>
        <v>Och-TL2-DilutionPlate</v>
      </c>
      <c r="BZ325" s="3" t="str">
        <f t="shared" si="73"/>
        <v>D11</v>
      </c>
      <c r="CA325" s="3" t="str">
        <f t="shared" si="74"/>
        <v>Och-C-2</v>
      </c>
      <c r="CC325" s="3">
        <v>1.5</v>
      </c>
      <c r="CD325" s="10" t="s">
        <v>1390</v>
      </c>
      <c r="CE325" s="21" t="str">
        <f t="shared" si="105"/>
        <v>OcC0105203D</v>
      </c>
      <c r="CF325" s="21" t="str">
        <f t="shared" si="75"/>
        <v>Och-CBur_052_Ex1-3D-lcwgs-1-1</v>
      </c>
      <c r="CG325" s="3">
        <f t="shared" si="98"/>
        <v>0.68361427119763041</v>
      </c>
      <c r="CH325">
        <v>12684612</v>
      </c>
      <c r="CI325">
        <v>10615762</v>
      </c>
      <c r="CJ325" s="27" t="s">
        <v>79</v>
      </c>
      <c r="CK325" s="3">
        <v>13.848109527310605</v>
      </c>
      <c r="CL325" s="3" t="s">
        <v>1611</v>
      </c>
      <c r="CM325" s="33" t="s">
        <v>1736</v>
      </c>
      <c r="CN325" s="3" t="str">
        <f>B325&amp;"-"&amp;Z325&amp;AA325&amp;"-lcwgs-"&amp;C325&amp;"-2"</f>
        <v>Och-CBur_052_Ex1-3D-lcwgs-1-2</v>
      </c>
      <c r="CR325"/>
    </row>
    <row r="326" spans="1:96" x14ac:dyDescent="0.55000000000000004">
      <c r="A326" s="10" t="s">
        <v>1279</v>
      </c>
      <c r="B326" t="str">
        <f t="shared" si="90"/>
        <v>Och-CBur_053_Ex1</v>
      </c>
      <c r="C326" s="3">
        <v>1</v>
      </c>
      <c r="E326" s="3" t="s">
        <v>1317</v>
      </c>
      <c r="F326" s="3">
        <v>5</v>
      </c>
      <c r="G326" s="3" t="s">
        <v>87</v>
      </c>
      <c r="H326">
        <v>3.7707439249680257</v>
      </c>
      <c r="I326" s="3" t="s">
        <v>74</v>
      </c>
      <c r="J326" s="3">
        <v>0.1</v>
      </c>
      <c r="K326" s="3">
        <v>7.25</v>
      </c>
      <c r="L326" s="3">
        <v>0.33</v>
      </c>
      <c r="O326" s="3">
        <v>100</v>
      </c>
      <c r="P326" s="3">
        <v>26.519965818375734</v>
      </c>
      <c r="R326" s="3">
        <v>10</v>
      </c>
      <c r="Z326">
        <v>4</v>
      </c>
      <c r="AA326" t="s">
        <v>83</v>
      </c>
      <c r="AB326" t="s">
        <v>1318</v>
      </c>
      <c r="AC326" s="3" t="s">
        <v>78</v>
      </c>
      <c r="AD326" s="3">
        <v>8</v>
      </c>
      <c r="AE326">
        <v>4</v>
      </c>
      <c r="AF326" t="s">
        <v>83</v>
      </c>
      <c r="AG326" t="s">
        <v>658</v>
      </c>
      <c r="AH326" s="17" t="s">
        <v>659</v>
      </c>
      <c r="AI326" t="s">
        <v>622</v>
      </c>
      <c r="AJ326" s="18" t="s">
        <v>623</v>
      </c>
      <c r="AO326" s="3">
        <v>5.2015243325127809</v>
      </c>
      <c r="AP326" s="3">
        <v>36</v>
      </c>
      <c r="AQ326" s="3">
        <f t="shared" si="112"/>
        <v>187.25487597046012</v>
      </c>
      <c r="BE326" s="3" t="s">
        <v>79</v>
      </c>
      <c r="BF326" s="3" t="s">
        <v>1320</v>
      </c>
      <c r="BG326" s="3" t="s">
        <v>416</v>
      </c>
      <c r="BH326" s="3" t="str">
        <f t="shared" si="106"/>
        <v>Och-CBur_LCWGS-libraries</v>
      </c>
      <c r="BI326" s="3" t="str">
        <f t="shared" si="107"/>
        <v>C4</v>
      </c>
      <c r="BJ326" s="3" t="str">
        <f t="shared" si="108"/>
        <v>Och-TL2-DilutionPlate</v>
      </c>
      <c r="BK326" s="3" t="str">
        <f t="shared" si="109"/>
        <v>D6</v>
      </c>
      <c r="BL326" s="3">
        <v>1.5</v>
      </c>
      <c r="BM326" s="3">
        <v>2</v>
      </c>
      <c r="BN326" s="3">
        <f t="shared" si="110"/>
        <v>3.9011432493845857</v>
      </c>
      <c r="BO326" s="3">
        <f t="shared" si="111"/>
        <v>2.4011432493845857</v>
      </c>
      <c r="BP326" s="3" t="s">
        <v>1321</v>
      </c>
      <c r="BQ326">
        <v>6</v>
      </c>
      <c r="BR326" s="3" t="s">
        <v>84</v>
      </c>
      <c r="BX326" s="21" t="s">
        <v>1322</v>
      </c>
      <c r="BY326" s="3" t="str">
        <f t="shared" si="72"/>
        <v>Och-TL2-DilutionPlate</v>
      </c>
      <c r="BZ326" s="3" t="str">
        <f t="shared" si="73"/>
        <v>D6</v>
      </c>
      <c r="CA326" s="3" t="str">
        <f t="shared" si="74"/>
        <v>Och-C-2</v>
      </c>
      <c r="CC326" s="3">
        <v>1.5</v>
      </c>
      <c r="CD326" s="10" t="s">
        <v>1397</v>
      </c>
      <c r="CE326" s="21" t="str">
        <f t="shared" si="105"/>
        <v>OcC0105304C</v>
      </c>
      <c r="CF326" s="21" t="str">
        <f t="shared" si="75"/>
        <v>Och-CBur_053_Ex1-4C-lcwgs-1-1</v>
      </c>
      <c r="CG326" s="3">
        <f t="shared" si="98"/>
        <v>0.5767540067530057</v>
      </c>
      <c r="CH326">
        <v>9442692</v>
      </c>
      <c r="CI326">
        <v>7613570</v>
      </c>
      <c r="CJ326" s="27" t="s">
        <v>185</v>
      </c>
      <c r="CK326" s="3">
        <v>0</v>
      </c>
      <c r="CM326" s="33"/>
    </row>
    <row r="327" spans="1:96" x14ac:dyDescent="0.55000000000000004">
      <c r="A327" s="10" t="s">
        <v>1286</v>
      </c>
      <c r="B327" t="str">
        <f t="shared" ref="B327:B358" si="113">A327&amp;"_Ex1"</f>
        <v>Och-CBur_054_Ex1</v>
      </c>
      <c r="C327" s="3">
        <v>1</v>
      </c>
      <c r="E327" s="3" t="s">
        <v>1317</v>
      </c>
      <c r="F327" s="3">
        <v>6</v>
      </c>
      <c r="G327" s="3" t="s">
        <v>87</v>
      </c>
      <c r="H327">
        <v>13.247434986499927</v>
      </c>
      <c r="I327" s="3" t="s">
        <v>74</v>
      </c>
      <c r="J327" s="3">
        <v>0.1</v>
      </c>
      <c r="K327" s="3">
        <v>7.25</v>
      </c>
      <c r="L327" s="3">
        <v>0.33</v>
      </c>
      <c r="O327" s="3">
        <v>100</v>
      </c>
      <c r="P327" s="3">
        <v>7.5486311200550951</v>
      </c>
      <c r="R327" s="3">
        <v>10</v>
      </c>
      <c r="Z327">
        <v>5</v>
      </c>
      <c r="AA327" t="s">
        <v>76</v>
      </c>
      <c r="AB327" t="s">
        <v>1318</v>
      </c>
      <c r="AC327" s="3" t="s">
        <v>78</v>
      </c>
      <c r="AD327" s="3">
        <v>8</v>
      </c>
      <c r="AE327">
        <v>5</v>
      </c>
      <c r="AF327" t="s">
        <v>76</v>
      </c>
      <c r="AG327" t="s">
        <v>656</v>
      </c>
      <c r="AH327" s="17" t="s">
        <v>657</v>
      </c>
      <c r="AI327" t="s">
        <v>624</v>
      </c>
      <c r="AJ327" s="18" t="s">
        <v>625</v>
      </c>
      <c r="AO327" s="3">
        <v>0.53143344063624309</v>
      </c>
      <c r="AP327" s="3">
        <v>36</v>
      </c>
      <c r="AQ327" s="3">
        <f t="shared" si="112"/>
        <v>19.13160386290475</v>
      </c>
      <c r="BE327" s="3" t="s">
        <v>79</v>
      </c>
      <c r="BF327" s="3" t="s">
        <v>1320</v>
      </c>
      <c r="BG327" s="3" t="s">
        <v>186</v>
      </c>
      <c r="BH327" s="3" t="s">
        <v>186</v>
      </c>
      <c r="BI327" s="3" t="s">
        <v>186</v>
      </c>
      <c r="BJ327" s="3" t="s">
        <v>186</v>
      </c>
      <c r="BK327" s="3" t="s">
        <v>186</v>
      </c>
      <c r="BL327" s="3" t="s">
        <v>186</v>
      </c>
      <c r="BM327" s="3" t="s">
        <v>186</v>
      </c>
      <c r="BN327" s="3" t="s">
        <v>186</v>
      </c>
      <c r="BO327" s="3" t="s">
        <v>186</v>
      </c>
      <c r="BP327" s="3" t="s">
        <v>186</v>
      </c>
      <c r="BQ327" s="3" t="s">
        <v>186</v>
      </c>
      <c r="BR327" s="3" t="s">
        <v>186</v>
      </c>
      <c r="BS327" s="3" t="s">
        <v>186</v>
      </c>
      <c r="BT327" s="3" t="s">
        <v>186</v>
      </c>
      <c r="BU327" s="3" t="s">
        <v>186</v>
      </c>
      <c r="BV327" s="3" t="s">
        <v>186</v>
      </c>
      <c r="BW327" s="3" t="s">
        <v>186</v>
      </c>
      <c r="BX327" s="21" t="s">
        <v>1322</v>
      </c>
      <c r="BY327" s="3" t="str">
        <f t="shared" si="72"/>
        <v>Och-CBur_LCWGS-libraries</v>
      </c>
      <c r="BZ327" s="3" t="str">
        <f t="shared" si="73"/>
        <v>B5</v>
      </c>
      <c r="CA327" s="3" t="str">
        <f t="shared" si="74"/>
        <v>Och-C-2</v>
      </c>
      <c r="CC327" s="3">
        <v>1.5</v>
      </c>
      <c r="CD327" s="10" t="s">
        <v>1404</v>
      </c>
      <c r="CE327" s="21" t="str">
        <f t="shared" si="105"/>
        <v>OcC0105405B</v>
      </c>
      <c r="CF327" s="21" t="str">
        <f t="shared" si="75"/>
        <v>Och-CBur_054_Ex1-5B-lcwgs-1-1</v>
      </c>
      <c r="CG327" s="3">
        <f t="shared" si="98"/>
        <v>1.5</v>
      </c>
      <c r="CH327">
        <v>1747223</v>
      </c>
      <c r="CI327">
        <v>1432549</v>
      </c>
      <c r="CJ327" s="27" t="s">
        <v>185</v>
      </c>
      <c r="CK327" s="3">
        <v>0</v>
      </c>
      <c r="CM327" s="33"/>
    </row>
    <row r="328" spans="1:96" x14ac:dyDescent="0.55000000000000004">
      <c r="A328" s="10" t="s">
        <v>1291</v>
      </c>
      <c r="B328" t="str">
        <f t="shared" si="113"/>
        <v>Och-CBur_055_Ex1</v>
      </c>
      <c r="C328" s="3">
        <v>1</v>
      </c>
      <c r="E328" s="3" t="s">
        <v>1317</v>
      </c>
      <c r="F328" s="3">
        <v>7</v>
      </c>
      <c r="G328" s="3" t="s">
        <v>87</v>
      </c>
      <c r="H328">
        <v>6.2540855478186721</v>
      </c>
      <c r="I328" s="3" t="s">
        <v>74</v>
      </c>
      <c r="J328" s="3">
        <v>0.1</v>
      </c>
      <c r="K328" s="3">
        <v>7.25</v>
      </c>
      <c r="L328" s="3">
        <v>0.33</v>
      </c>
      <c r="O328" s="3">
        <v>100</v>
      </c>
      <c r="P328" s="3">
        <v>15.98954783003863</v>
      </c>
      <c r="R328" s="3">
        <v>10</v>
      </c>
      <c r="Z328">
        <v>5</v>
      </c>
      <c r="AA328" t="s">
        <v>91</v>
      </c>
      <c r="AB328" t="s">
        <v>1318</v>
      </c>
      <c r="AC328" s="3" t="s">
        <v>78</v>
      </c>
      <c r="AD328" s="3">
        <v>8</v>
      </c>
      <c r="AE328">
        <v>5</v>
      </c>
      <c r="AF328" t="s">
        <v>91</v>
      </c>
      <c r="AG328" t="s">
        <v>666</v>
      </c>
      <c r="AH328" s="17" t="s">
        <v>667</v>
      </c>
      <c r="AI328" t="s">
        <v>624</v>
      </c>
      <c r="AJ328" s="18" t="s">
        <v>625</v>
      </c>
      <c r="AO328" s="3">
        <v>8.5837578110206394</v>
      </c>
      <c r="AP328" s="3">
        <v>36</v>
      </c>
      <c r="AQ328" s="3">
        <f t="shared" si="112"/>
        <v>309.01528119674299</v>
      </c>
      <c r="BE328" s="3" t="s">
        <v>79</v>
      </c>
      <c r="BF328" s="3" t="s">
        <v>1320</v>
      </c>
      <c r="BG328" s="3" t="s">
        <v>416</v>
      </c>
      <c r="BH328" s="3" t="str">
        <f t="shared" ref="BH328:BH338" si="114">AB328</f>
        <v>Och-CBur_LCWGS-libraries</v>
      </c>
      <c r="BI328" s="3" t="str">
        <f t="shared" ref="BI328:BI338" si="115">AA328&amp;Z328</f>
        <v>G5</v>
      </c>
      <c r="BJ328" s="3" t="str">
        <f t="shared" ref="BJ328:BJ338" si="116">BP328</f>
        <v>Och-TL2-DilutionPlate</v>
      </c>
      <c r="BK328" s="3" t="str">
        <f t="shared" ref="BK328:BK338" si="117">BR328&amp;BQ328</f>
        <v>F8</v>
      </c>
      <c r="BL328" s="3">
        <v>1.5</v>
      </c>
      <c r="BM328" s="3">
        <v>2</v>
      </c>
      <c r="BN328" s="3">
        <f t="shared" ref="BN328:BN338" si="118">AO328*BL328/BM328</f>
        <v>6.4378183582654795</v>
      </c>
      <c r="BO328" s="3">
        <f t="shared" ref="BO328:BO338" si="119">BN328-BL328</f>
        <v>4.9378183582654795</v>
      </c>
      <c r="BP328" s="3" t="s">
        <v>1321</v>
      </c>
      <c r="BQ328">
        <v>8</v>
      </c>
      <c r="BR328" s="3" t="s">
        <v>88</v>
      </c>
      <c r="BX328" s="21" t="s">
        <v>1322</v>
      </c>
      <c r="BY328" s="3" t="str">
        <f t="shared" si="72"/>
        <v>Och-TL2-DilutionPlate</v>
      </c>
      <c r="BZ328" s="3" t="str">
        <f t="shared" si="73"/>
        <v>F8</v>
      </c>
      <c r="CA328" s="3" t="str">
        <f t="shared" si="74"/>
        <v>Och-C-2</v>
      </c>
      <c r="CC328" s="3">
        <v>1.5</v>
      </c>
      <c r="CD328" s="10" t="s">
        <v>1409</v>
      </c>
      <c r="CE328" s="21" t="str">
        <f t="shared" si="105"/>
        <v>OcC0105505G</v>
      </c>
      <c r="CF328" s="21" t="str">
        <f t="shared" si="75"/>
        <v>Och-CBur_055_Ex1-5G-lcwgs-1-1</v>
      </c>
      <c r="CG328" s="3">
        <f t="shared" si="98"/>
        <v>0.34949727916930701</v>
      </c>
      <c r="CH328">
        <v>18223970</v>
      </c>
      <c r="CI328">
        <v>14726883</v>
      </c>
      <c r="CJ328" s="27" t="s">
        <v>79</v>
      </c>
      <c r="CK328" s="3">
        <v>4.4150994971876854</v>
      </c>
      <c r="CL328" s="3" t="s">
        <v>1611</v>
      </c>
      <c r="CM328" s="33" t="s">
        <v>1737</v>
      </c>
      <c r="CN328" s="3" t="str">
        <f t="shared" ref="CN328:CN338" si="120">B328&amp;"-"&amp;Z328&amp;AA328&amp;"-lcwgs-"&amp;C328&amp;"-2"</f>
        <v>Och-CBur_055_Ex1-5G-lcwgs-1-2</v>
      </c>
      <c r="CR328"/>
    </row>
    <row r="329" spans="1:96" x14ac:dyDescent="0.55000000000000004">
      <c r="A329" s="10" t="s">
        <v>1296</v>
      </c>
      <c r="B329" t="str">
        <f t="shared" si="113"/>
        <v>Och-CBur_056_Ex1</v>
      </c>
      <c r="C329" s="3">
        <v>1</v>
      </c>
      <c r="E329" s="3" t="s">
        <v>1317</v>
      </c>
      <c r="F329" s="3">
        <v>8</v>
      </c>
      <c r="G329" s="3" t="s">
        <v>87</v>
      </c>
      <c r="H329">
        <v>6.4712661645587612</v>
      </c>
      <c r="I329" s="3" t="s">
        <v>74</v>
      </c>
      <c r="J329" s="3">
        <v>0.1</v>
      </c>
      <c r="K329" s="3">
        <v>7.25</v>
      </c>
      <c r="L329" s="3">
        <v>0.33</v>
      </c>
      <c r="O329" s="3">
        <v>100</v>
      </c>
      <c r="P329" s="3">
        <v>15.452926437745809</v>
      </c>
      <c r="R329" s="3">
        <v>10</v>
      </c>
      <c r="Z329">
        <v>6</v>
      </c>
      <c r="AA329" t="s">
        <v>84</v>
      </c>
      <c r="AB329" t="s">
        <v>1318</v>
      </c>
      <c r="AC329" s="3" t="s">
        <v>78</v>
      </c>
      <c r="AD329" s="3">
        <v>8</v>
      </c>
      <c r="AE329">
        <v>6</v>
      </c>
      <c r="AF329" t="s">
        <v>84</v>
      </c>
      <c r="AG329" t="s">
        <v>660</v>
      </c>
      <c r="AH329" s="17" t="s">
        <v>661</v>
      </c>
      <c r="AI329" t="s">
        <v>626</v>
      </c>
      <c r="AJ329" s="18" t="s">
        <v>627</v>
      </c>
      <c r="AO329" s="3">
        <v>8.4742757053588313</v>
      </c>
      <c r="AP329" s="3">
        <v>36</v>
      </c>
      <c r="AQ329" s="3">
        <f t="shared" si="112"/>
        <v>305.07392539291794</v>
      </c>
      <c r="BE329" s="3" t="s">
        <v>79</v>
      </c>
      <c r="BF329" s="3" t="s">
        <v>1320</v>
      </c>
      <c r="BG329" s="3" t="s">
        <v>416</v>
      </c>
      <c r="BH329" s="3" t="str">
        <f t="shared" si="114"/>
        <v>Och-CBur_LCWGS-libraries</v>
      </c>
      <c r="BI329" s="3" t="str">
        <f t="shared" si="115"/>
        <v>D6</v>
      </c>
      <c r="BJ329" s="3" t="str">
        <f t="shared" si="116"/>
        <v>Och-TL2-DilutionPlate</v>
      </c>
      <c r="BK329" s="3" t="str">
        <f t="shared" si="117"/>
        <v>E1</v>
      </c>
      <c r="BL329" s="3">
        <v>1.5</v>
      </c>
      <c r="BM329" s="3">
        <v>2</v>
      </c>
      <c r="BN329" s="3">
        <f t="shared" si="118"/>
        <v>6.3557067790191235</v>
      </c>
      <c r="BO329" s="3">
        <f t="shared" si="119"/>
        <v>4.8557067790191235</v>
      </c>
      <c r="BP329" s="3" t="s">
        <v>1321</v>
      </c>
      <c r="BQ329">
        <v>1</v>
      </c>
      <c r="BR329" s="3" t="s">
        <v>87</v>
      </c>
      <c r="BX329" s="21" t="s">
        <v>1322</v>
      </c>
      <c r="BY329" s="3" t="str">
        <f t="shared" si="72"/>
        <v>Och-TL2-DilutionPlate</v>
      </c>
      <c r="BZ329" s="3" t="str">
        <f t="shared" si="73"/>
        <v>E1</v>
      </c>
      <c r="CA329" s="3" t="str">
        <f t="shared" si="74"/>
        <v>Och-C-2</v>
      </c>
      <c r="CC329" s="3">
        <v>1.5</v>
      </c>
      <c r="CD329" s="10" t="s">
        <v>1414</v>
      </c>
      <c r="CE329" s="21" t="str">
        <f t="shared" si="105"/>
        <v>OcC0105606D</v>
      </c>
      <c r="CF329" s="21" t="str">
        <f t="shared" si="75"/>
        <v>Och-CBur_056_Ex1-6D-lcwgs-1-1</v>
      </c>
      <c r="CG329" s="3">
        <f t="shared" si="98"/>
        <v>0.35401255568106033</v>
      </c>
      <c r="CH329">
        <v>7589529</v>
      </c>
      <c r="CI329">
        <v>6388742</v>
      </c>
      <c r="CJ329" s="27" t="s">
        <v>79</v>
      </c>
      <c r="CK329" s="3">
        <v>13.568629949144539</v>
      </c>
      <c r="CL329" s="3" t="s">
        <v>1611</v>
      </c>
      <c r="CM329" s="33" t="s">
        <v>1738</v>
      </c>
      <c r="CN329" s="3" t="str">
        <f t="shared" si="120"/>
        <v>Och-CBur_056_Ex1-6D-lcwgs-1-2</v>
      </c>
      <c r="CR329"/>
    </row>
    <row r="330" spans="1:96" x14ac:dyDescent="0.55000000000000004">
      <c r="A330" s="10" t="s">
        <v>1300</v>
      </c>
      <c r="B330" t="str">
        <f t="shared" si="113"/>
        <v>Och-CBur_057_Ex1</v>
      </c>
      <c r="C330" s="3">
        <v>1</v>
      </c>
      <c r="E330" s="3" t="s">
        <v>1317</v>
      </c>
      <c r="F330" s="3">
        <v>9</v>
      </c>
      <c r="G330" s="3" t="s">
        <v>87</v>
      </c>
      <c r="H330">
        <v>7.2510196106295295</v>
      </c>
      <c r="I330" s="3" t="s">
        <v>74</v>
      </c>
      <c r="J330" s="3">
        <v>0.1</v>
      </c>
      <c r="K330" s="3">
        <v>7.25</v>
      </c>
      <c r="L330" s="3">
        <v>0.33</v>
      </c>
      <c r="O330" s="3">
        <v>100</v>
      </c>
      <c r="P330" s="3">
        <v>13.791163914852254</v>
      </c>
      <c r="R330" s="3">
        <v>10</v>
      </c>
      <c r="Z330">
        <v>6</v>
      </c>
      <c r="AA330" t="s">
        <v>92</v>
      </c>
      <c r="AB330" t="s">
        <v>1318</v>
      </c>
      <c r="AC330" s="3" t="s">
        <v>78</v>
      </c>
      <c r="AD330" s="3">
        <v>8</v>
      </c>
      <c r="AE330">
        <v>6</v>
      </c>
      <c r="AF330" t="s">
        <v>92</v>
      </c>
      <c r="AG330" t="s">
        <v>668</v>
      </c>
      <c r="AH330" s="17" t="s">
        <v>669</v>
      </c>
      <c r="AI330" t="s">
        <v>626</v>
      </c>
      <c r="AJ330" s="18" t="s">
        <v>627</v>
      </c>
      <c r="AO330" s="3">
        <v>8.1175487597046008</v>
      </c>
      <c r="AP330" s="3">
        <v>36</v>
      </c>
      <c r="AQ330" s="3">
        <f t="shared" si="112"/>
        <v>292.23175534936564</v>
      </c>
      <c r="BE330" s="3" t="s">
        <v>79</v>
      </c>
      <c r="BF330" s="3" t="s">
        <v>1320</v>
      </c>
      <c r="BG330" s="3" t="s">
        <v>416</v>
      </c>
      <c r="BH330" s="3" t="str">
        <f t="shared" si="114"/>
        <v>Och-CBur_LCWGS-libraries</v>
      </c>
      <c r="BI330" s="3" t="str">
        <f t="shared" si="115"/>
        <v>H6</v>
      </c>
      <c r="BJ330" s="3" t="str">
        <f t="shared" si="116"/>
        <v>Och-TL2-DilutionPlate</v>
      </c>
      <c r="BK330" s="3" t="str">
        <f t="shared" si="117"/>
        <v>G3</v>
      </c>
      <c r="BL330" s="3">
        <v>1.5</v>
      </c>
      <c r="BM330" s="3">
        <v>2</v>
      </c>
      <c r="BN330" s="3">
        <f t="shared" si="118"/>
        <v>6.0881615697784506</v>
      </c>
      <c r="BO330" s="3">
        <f t="shared" si="119"/>
        <v>4.5881615697784506</v>
      </c>
      <c r="BP330" s="3" t="s">
        <v>1321</v>
      </c>
      <c r="BQ330">
        <v>3</v>
      </c>
      <c r="BR330" s="3" t="s">
        <v>91</v>
      </c>
      <c r="BX330" s="21" t="s">
        <v>1322</v>
      </c>
      <c r="BY330" s="3" t="str">
        <f t="shared" ref="BY330:BY358" si="121">IF(ISNUMBER(BM330),BP330,AB330)</f>
        <v>Och-TL2-DilutionPlate</v>
      </c>
      <c r="BZ330" s="3" t="str">
        <f t="shared" ref="BZ330:BZ358" si="122">IF(ISNUMBER(BM330),BR330&amp;BQ330,AA330&amp;AE330)</f>
        <v>G3</v>
      </c>
      <c r="CA330" s="3" t="str">
        <f t="shared" ref="CA330:CA358" si="123">BF330</f>
        <v>Och-C-2</v>
      </c>
      <c r="CC330" s="3">
        <v>1.5</v>
      </c>
      <c r="CD330" s="10" t="s">
        <v>1418</v>
      </c>
      <c r="CE330" s="21" t="str">
        <f t="shared" si="105"/>
        <v>OcC0105706H</v>
      </c>
      <c r="CF330" s="21" t="str">
        <f t="shared" ref="CF330:CF358" si="124">B330&amp;"-"&amp;Z330&amp;AA330&amp;"-lcwgs-"&amp;C330&amp;"-1"</f>
        <v>Och-CBur_057_Ex1-6H-lcwgs-1-1</v>
      </c>
      <c r="CG330" s="3">
        <f t="shared" si="98"/>
        <v>0.36956969262592648</v>
      </c>
      <c r="CH330">
        <v>9327543</v>
      </c>
      <c r="CI330">
        <v>7663802</v>
      </c>
      <c r="CJ330" s="27" t="s">
        <v>79</v>
      </c>
      <c r="CK330" s="3">
        <v>11.374421812494958</v>
      </c>
      <c r="CL330" s="3" t="s">
        <v>1611</v>
      </c>
      <c r="CM330" s="33" t="s">
        <v>1739</v>
      </c>
      <c r="CN330" s="3" t="str">
        <f t="shared" si="120"/>
        <v>Och-CBur_057_Ex1-6H-lcwgs-1-2</v>
      </c>
      <c r="CR330"/>
    </row>
    <row r="331" spans="1:96" x14ac:dyDescent="0.55000000000000004">
      <c r="A331" s="10" t="s">
        <v>1304</v>
      </c>
      <c r="B331" t="str">
        <f t="shared" si="113"/>
        <v>Och-CBur_058_Ex1</v>
      </c>
      <c r="C331" s="3">
        <v>1</v>
      </c>
      <c r="E331" s="3" t="s">
        <v>1317</v>
      </c>
      <c r="F331" s="3">
        <v>10</v>
      </c>
      <c r="G331" s="3" t="s">
        <v>87</v>
      </c>
      <c r="H331">
        <v>3.7656778456728714</v>
      </c>
      <c r="I331" s="3" t="s">
        <v>74</v>
      </c>
      <c r="J331" s="3">
        <v>0.1</v>
      </c>
      <c r="K331" s="3">
        <v>7.25</v>
      </c>
      <c r="L331" s="3">
        <v>0.33</v>
      </c>
      <c r="O331" s="3">
        <v>100</v>
      </c>
      <c r="P331" s="3">
        <v>26.555643923419971</v>
      </c>
      <c r="R331" s="3">
        <v>10</v>
      </c>
      <c r="Z331">
        <v>7</v>
      </c>
      <c r="AA331" t="s">
        <v>84</v>
      </c>
      <c r="AB331" t="s">
        <v>1318</v>
      </c>
      <c r="AC331" s="3" t="s">
        <v>78</v>
      </c>
      <c r="AD331" s="3">
        <v>8</v>
      </c>
      <c r="AE331">
        <v>7</v>
      </c>
      <c r="AF331" t="s">
        <v>84</v>
      </c>
      <c r="AG331" t="s">
        <v>660</v>
      </c>
      <c r="AH331" s="17" t="s">
        <v>661</v>
      </c>
      <c r="AI331" t="s">
        <v>628</v>
      </c>
      <c r="AJ331" s="18" t="s">
        <v>629</v>
      </c>
      <c r="AO331" s="3">
        <v>4.6208956637000567</v>
      </c>
      <c r="AP331" s="3">
        <v>36</v>
      </c>
      <c r="AQ331" s="3">
        <f t="shared" si="112"/>
        <v>166.35224389320203</v>
      </c>
      <c r="BE331" s="3" t="s">
        <v>79</v>
      </c>
      <c r="BF331" s="3" t="s">
        <v>1320</v>
      </c>
      <c r="BG331" s="3" t="s">
        <v>416</v>
      </c>
      <c r="BH331" s="3" t="str">
        <f t="shared" si="114"/>
        <v>Och-CBur_LCWGS-libraries</v>
      </c>
      <c r="BI331" s="3" t="str">
        <f t="shared" si="115"/>
        <v>D7</v>
      </c>
      <c r="BJ331" s="3" t="str">
        <f t="shared" si="116"/>
        <v>Och-TL2-DilutionPlate</v>
      </c>
      <c r="BK331" s="3" t="str">
        <f t="shared" si="117"/>
        <v>E2</v>
      </c>
      <c r="BL331" s="3">
        <v>1.5</v>
      </c>
      <c r="BM331" s="3">
        <v>2</v>
      </c>
      <c r="BN331" s="3">
        <f t="shared" si="118"/>
        <v>3.4656717477750423</v>
      </c>
      <c r="BO331" s="3">
        <f t="shared" si="119"/>
        <v>1.9656717477750423</v>
      </c>
      <c r="BP331" s="3" t="s">
        <v>1321</v>
      </c>
      <c r="BQ331">
        <v>2</v>
      </c>
      <c r="BR331" s="3" t="s">
        <v>87</v>
      </c>
      <c r="BX331" s="21" t="s">
        <v>1322</v>
      </c>
      <c r="BY331" s="3" t="str">
        <f t="shared" si="121"/>
        <v>Och-TL2-DilutionPlate</v>
      </c>
      <c r="BZ331" s="3" t="str">
        <f t="shared" si="122"/>
        <v>E2</v>
      </c>
      <c r="CA331" s="3" t="str">
        <f t="shared" si="123"/>
        <v>Och-C-2</v>
      </c>
      <c r="CC331" s="3">
        <v>1.5</v>
      </c>
      <c r="CD331" s="10" t="s">
        <v>1422</v>
      </c>
      <c r="CE331" s="21" t="str">
        <f t="shared" si="105"/>
        <v>OcC0105807D</v>
      </c>
      <c r="CF331" s="21" t="str">
        <f t="shared" si="124"/>
        <v>Och-CBur_058_Ex1-7D-lcwgs-1-1</v>
      </c>
      <c r="CG331" s="3">
        <f t="shared" si="98"/>
        <v>0.64922478634755232</v>
      </c>
      <c r="CH331">
        <v>11790331</v>
      </c>
      <c r="CI331">
        <v>9814033</v>
      </c>
      <c r="CJ331" s="27" t="s">
        <v>79</v>
      </c>
      <c r="CK331" s="3">
        <v>14.600033776313662</v>
      </c>
      <c r="CL331" s="3" t="s">
        <v>1611</v>
      </c>
      <c r="CM331" s="33" t="s">
        <v>1740</v>
      </c>
      <c r="CN331" s="3" t="str">
        <f t="shared" si="120"/>
        <v>Och-CBur_058_Ex1-7D-lcwgs-1-2</v>
      </c>
      <c r="CR331"/>
    </row>
    <row r="332" spans="1:96" x14ac:dyDescent="0.55000000000000004">
      <c r="A332" s="10" t="s">
        <v>1310</v>
      </c>
      <c r="B332" t="str">
        <f t="shared" si="113"/>
        <v>Och-CBur_059_Ex1</v>
      </c>
      <c r="C332" s="3">
        <v>1</v>
      </c>
      <c r="E332" s="3" t="s">
        <v>1317</v>
      </c>
      <c r="F332" s="3">
        <v>11</v>
      </c>
      <c r="G332" s="3" t="s">
        <v>87</v>
      </c>
      <c r="H332">
        <v>5.4734190706266874</v>
      </c>
      <c r="I332" s="3" t="s">
        <v>74</v>
      </c>
      <c r="J332" s="3">
        <v>0.1</v>
      </c>
      <c r="K332" s="3">
        <v>7.25</v>
      </c>
      <c r="L332" s="3">
        <v>0.33</v>
      </c>
      <c r="O332" s="3">
        <v>100</v>
      </c>
      <c r="P332" s="3">
        <v>18.270115755735535</v>
      </c>
      <c r="R332" s="3">
        <v>10</v>
      </c>
      <c r="Z332">
        <v>8</v>
      </c>
      <c r="AA332" t="s">
        <v>76</v>
      </c>
      <c r="AB332" t="s">
        <v>1318</v>
      </c>
      <c r="AC332" s="3" t="s">
        <v>78</v>
      </c>
      <c r="AD332" s="3">
        <v>8</v>
      </c>
      <c r="AE332">
        <v>8</v>
      </c>
      <c r="AF332" t="s">
        <v>76</v>
      </c>
      <c r="AG332" t="s">
        <v>656</v>
      </c>
      <c r="AH332" s="17" t="s">
        <v>657</v>
      </c>
      <c r="AI332" t="s">
        <v>630</v>
      </c>
      <c r="AJ332" s="18" t="s">
        <v>631</v>
      </c>
      <c r="AO332" s="3">
        <v>6.3337909486839603</v>
      </c>
      <c r="AP332" s="3">
        <v>36</v>
      </c>
      <c r="AQ332" s="3">
        <f t="shared" si="112"/>
        <v>228.01647415262258</v>
      </c>
      <c r="BE332" s="3" t="s">
        <v>79</v>
      </c>
      <c r="BF332" s="3" t="s">
        <v>1320</v>
      </c>
      <c r="BG332" s="3" t="s">
        <v>416</v>
      </c>
      <c r="BH332" s="3" t="str">
        <f t="shared" si="114"/>
        <v>Och-CBur_LCWGS-libraries</v>
      </c>
      <c r="BI332" s="3" t="str">
        <f t="shared" si="115"/>
        <v>B8</v>
      </c>
      <c r="BJ332" s="3" t="str">
        <f t="shared" si="116"/>
        <v>Och-TL2-DilutionPlate</v>
      </c>
      <c r="BK332" s="3" t="str">
        <f t="shared" si="117"/>
        <v>D2</v>
      </c>
      <c r="BL332" s="3">
        <v>1.5</v>
      </c>
      <c r="BM332" s="3">
        <v>2</v>
      </c>
      <c r="BN332" s="3">
        <f t="shared" si="118"/>
        <v>4.7503432115129698</v>
      </c>
      <c r="BO332" s="3">
        <f t="shared" si="119"/>
        <v>3.2503432115129698</v>
      </c>
      <c r="BP332" s="3" t="s">
        <v>1321</v>
      </c>
      <c r="BQ332">
        <v>2</v>
      </c>
      <c r="BR332" s="3" t="s">
        <v>84</v>
      </c>
      <c r="BX332" s="21" t="s">
        <v>1322</v>
      </c>
      <c r="BY332" s="3" t="str">
        <f t="shared" si="121"/>
        <v>Och-TL2-DilutionPlate</v>
      </c>
      <c r="BZ332" s="3" t="str">
        <f t="shared" si="122"/>
        <v>D2</v>
      </c>
      <c r="CA332" s="3" t="str">
        <f t="shared" si="123"/>
        <v>Och-C-2</v>
      </c>
      <c r="CC332" s="3">
        <v>1.5</v>
      </c>
      <c r="CD332" s="10" t="s">
        <v>1428</v>
      </c>
      <c r="CE332" s="21" t="str">
        <f t="shared" si="105"/>
        <v>OcC0105908B</v>
      </c>
      <c r="CF332" s="21" t="str">
        <f t="shared" si="124"/>
        <v>Och-CBur_059_Ex1-8B-lcwgs-1-1</v>
      </c>
      <c r="CG332" s="3">
        <f t="shared" si="98"/>
        <v>0.47364998692028865</v>
      </c>
      <c r="CH332">
        <v>11978161</v>
      </c>
      <c r="CI332">
        <v>9942469</v>
      </c>
      <c r="CJ332" s="27" t="s">
        <v>79</v>
      </c>
      <c r="CK332" s="3">
        <v>10.470870397288895</v>
      </c>
      <c r="CL332" s="3" t="s">
        <v>1611</v>
      </c>
      <c r="CM332" s="33" t="s">
        <v>1741</v>
      </c>
      <c r="CN332" s="3" t="str">
        <f t="shared" si="120"/>
        <v>Och-CBur_059_Ex1-8B-lcwgs-1-2</v>
      </c>
      <c r="CR332"/>
    </row>
    <row r="333" spans="1:96" x14ac:dyDescent="0.55000000000000004">
      <c r="A333" s="10" t="s">
        <v>1314</v>
      </c>
      <c r="B333" t="str">
        <f t="shared" si="113"/>
        <v>Och-CBur_060_Ex1</v>
      </c>
      <c r="C333" s="3">
        <v>1</v>
      </c>
      <c r="E333" s="3" t="s">
        <v>1317</v>
      </c>
      <c r="F333" s="3">
        <v>12</v>
      </c>
      <c r="G333" s="3" t="s">
        <v>87</v>
      </c>
      <c r="H333">
        <v>5.9390542844962333</v>
      </c>
      <c r="I333" s="3" t="s">
        <v>74</v>
      </c>
      <c r="J333" s="3">
        <v>0.1</v>
      </c>
      <c r="K333" s="3">
        <v>7.25</v>
      </c>
      <c r="L333" s="3">
        <v>0.33</v>
      </c>
      <c r="O333" s="3">
        <v>100</v>
      </c>
      <c r="P333" s="3">
        <v>16.837697587820966</v>
      </c>
      <c r="R333" s="3">
        <v>10</v>
      </c>
      <c r="Z333">
        <v>8</v>
      </c>
      <c r="AA333" t="s">
        <v>88</v>
      </c>
      <c r="AB333" t="s">
        <v>1318</v>
      </c>
      <c r="AC333" s="3" t="s">
        <v>78</v>
      </c>
      <c r="AD333" s="3">
        <v>8</v>
      </c>
      <c r="AE333">
        <v>8</v>
      </c>
      <c r="AF333" t="s">
        <v>88</v>
      </c>
      <c r="AG333" t="s">
        <v>664</v>
      </c>
      <c r="AH333" s="17" t="s">
        <v>665</v>
      </c>
      <c r="AI333" t="s">
        <v>630</v>
      </c>
      <c r="AJ333" s="18" t="s">
        <v>631</v>
      </c>
      <c r="AO333" s="3">
        <v>4.706319825790569</v>
      </c>
      <c r="AP333" s="3">
        <v>36</v>
      </c>
      <c r="AQ333" s="3">
        <f t="shared" si="112"/>
        <v>169.4275137284605</v>
      </c>
      <c r="BE333" s="3" t="s">
        <v>79</v>
      </c>
      <c r="BF333" s="3" t="s">
        <v>1320</v>
      </c>
      <c r="BG333" s="3" t="s">
        <v>416</v>
      </c>
      <c r="BH333" s="3" t="str">
        <f t="shared" si="114"/>
        <v>Och-CBur_LCWGS-libraries</v>
      </c>
      <c r="BI333" s="3" t="str">
        <f t="shared" si="115"/>
        <v>F8</v>
      </c>
      <c r="BJ333" s="3" t="str">
        <f t="shared" si="116"/>
        <v>Och-TL2-DilutionPlate</v>
      </c>
      <c r="BK333" s="3" t="str">
        <f t="shared" si="117"/>
        <v>F4</v>
      </c>
      <c r="BL333" s="3">
        <v>1.5</v>
      </c>
      <c r="BM333" s="3">
        <v>2</v>
      </c>
      <c r="BN333" s="3">
        <f t="shared" si="118"/>
        <v>3.5297398693429267</v>
      </c>
      <c r="BO333" s="3">
        <f t="shared" si="119"/>
        <v>2.0297398693429267</v>
      </c>
      <c r="BP333" s="3" t="s">
        <v>1321</v>
      </c>
      <c r="BQ333">
        <v>4</v>
      </c>
      <c r="BR333" s="3" t="s">
        <v>88</v>
      </c>
      <c r="BX333" s="21" t="s">
        <v>1322</v>
      </c>
      <c r="BY333" s="3" t="str">
        <f t="shared" si="121"/>
        <v>Och-TL2-DilutionPlate</v>
      </c>
      <c r="BZ333" s="3" t="str">
        <f t="shared" si="122"/>
        <v>F4</v>
      </c>
      <c r="CA333" s="3" t="str">
        <f t="shared" si="123"/>
        <v>Och-C-2</v>
      </c>
      <c r="CC333" s="3">
        <v>1.5</v>
      </c>
      <c r="CD333" s="10" t="s">
        <v>1432</v>
      </c>
      <c r="CE333" s="21" t="str">
        <f t="shared" si="105"/>
        <v>OcC0106008F</v>
      </c>
      <c r="CF333" s="21" t="str">
        <f t="shared" si="124"/>
        <v>Och-CBur_060_Ex1-8F-lcwgs-1-1</v>
      </c>
      <c r="CG333" s="3">
        <f t="shared" si="98"/>
        <v>0.63744074160877051</v>
      </c>
      <c r="CH333">
        <v>10401614</v>
      </c>
      <c r="CI333">
        <v>8665809</v>
      </c>
      <c r="CJ333" s="27" t="s">
        <v>79</v>
      </c>
      <c r="CK333" s="3">
        <v>16.83032467884939</v>
      </c>
      <c r="CL333" s="3" t="s">
        <v>1611</v>
      </c>
      <c r="CM333" s="33" t="s">
        <v>1742</v>
      </c>
      <c r="CN333" s="3" t="str">
        <f t="shared" si="120"/>
        <v>Och-CBur_060_Ex1-8F-lcwgs-1-2</v>
      </c>
      <c r="CR333"/>
    </row>
    <row r="334" spans="1:96" x14ac:dyDescent="0.55000000000000004">
      <c r="A334" s="10" t="s">
        <v>1257</v>
      </c>
      <c r="B334" t="str">
        <f t="shared" si="113"/>
        <v>Och-CBur_061_Ex1</v>
      </c>
      <c r="C334" s="3">
        <v>1</v>
      </c>
      <c r="E334" s="3" t="s">
        <v>1317</v>
      </c>
      <c r="F334" s="3">
        <v>1</v>
      </c>
      <c r="G334" s="3" t="s">
        <v>88</v>
      </c>
      <c r="H334">
        <v>3.6309329259627678</v>
      </c>
      <c r="I334" s="3" t="s">
        <v>74</v>
      </c>
      <c r="J334" s="3">
        <v>0.1</v>
      </c>
      <c r="K334" s="3">
        <v>7.25</v>
      </c>
      <c r="L334" s="3">
        <v>0.33</v>
      </c>
      <c r="O334" s="3">
        <v>100</v>
      </c>
      <c r="P334" s="3">
        <v>27.541131174568388</v>
      </c>
      <c r="R334" s="3">
        <v>10</v>
      </c>
      <c r="Z334">
        <v>1</v>
      </c>
      <c r="AA334" t="s">
        <v>87</v>
      </c>
      <c r="AB334" t="s">
        <v>1318</v>
      </c>
      <c r="AC334" s="3" t="s">
        <v>78</v>
      </c>
      <c r="AD334" s="3">
        <v>8</v>
      </c>
      <c r="AE334">
        <v>1</v>
      </c>
      <c r="AF334" t="s">
        <v>87</v>
      </c>
      <c r="AG334" t="s">
        <v>662</v>
      </c>
      <c r="AH334" s="17" t="s">
        <v>663</v>
      </c>
      <c r="AI334" t="s">
        <v>616</v>
      </c>
      <c r="AJ334" s="18" t="s">
        <v>617</v>
      </c>
      <c r="AO334" s="3">
        <v>10.096804582465442</v>
      </c>
      <c r="AP334" s="3">
        <v>36</v>
      </c>
      <c r="AQ334" s="3">
        <f t="shared" si="112"/>
        <v>363.48496496875589</v>
      </c>
      <c r="BE334" s="3" t="s">
        <v>79</v>
      </c>
      <c r="BF334" s="3" t="s">
        <v>1320</v>
      </c>
      <c r="BG334" s="3" t="s">
        <v>416</v>
      </c>
      <c r="BH334" s="3" t="str">
        <f t="shared" si="114"/>
        <v>Och-CBur_LCWGS-libraries</v>
      </c>
      <c r="BI334" s="3" t="str">
        <f t="shared" si="115"/>
        <v>E1</v>
      </c>
      <c r="BJ334" s="3" t="str">
        <f t="shared" si="116"/>
        <v>Och-TL2-DilutionPlate</v>
      </c>
      <c r="BK334" s="3" t="str">
        <f t="shared" si="117"/>
        <v>E4</v>
      </c>
      <c r="BL334" s="3">
        <v>1.5</v>
      </c>
      <c r="BM334" s="3">
        <v>2</v>
      </c>
      <c r="BN334" s="3">
        <f t="shared" si="118"/>
        <v>7.5726034368490813</v>
      </c>
      <c r="BO334" s="3">
        <f t="shared" si="119"/>
        <v>6.0726034368490813</v>
      </c>
      <c r="BP334" s="3" t="s">
        <v>1321</v>
      </c>
      <c r="BQ334">
        <v>4</v>
      </c>
      <c r="BR334" s="3" t="s">
        <v>87</v>
      </c>
      <c r="BX334" s="21" t="s">
        <v>1322</v>
      </c>
      <c r="BY334" s="3" t="str">
        <f t="shared" si="121"/>
        <v>Och-TL2-DilutionPlate</v>
      </c>
      <c r="BZ334" s="3" t="str">
        <f t="shared" si="122"/>
        <v>E4</v>
      </c>
      <c r="CA334" s="3" t="str">
        <f t="shared" si="123"/>
        <v>Och-C-2</v>
      </c>
      <c r="CC334" s="3">
        <v>1.5</v>
      </c>
      <c r="CD334" s="10" t="s">
        <v>1375</v>
      </c>
      <c r="CE334" s="21" t="str">
        <f t="shared" si="105"/>
        <v>OcC0106101E</v>
      </c>
      <c r="CF334" s="21" t="str">
        <f t="shared" si="124"/>
        <v>Och-CBur_061_Ex1-1E-lcwgs-1-1</v>
      </c>
      <c r="CG334" s="3">
        <f t="shared" si="98"/>
        <v>0.29712370636646102</v>
      </c>
      <c r="CH334">
        <v>8139619</v>
      </c>
      <c r="CI334">
        <v>6786450</v>
      </c>
      <c r="CJ334" s="27" t="s">
        <v>79</v>
      </c>
      <c r="CK334" s="3">
        <v>10.597954122472258</v>
      </c>
      <c r="CL334" s="3" t="s">
        <v>1611</v>
      </c>
      <c r="CM334" s="33" t="s">
        <v>1743</v>
      </c>
      <c r="CN334" s="3" t="str">
        <f t="shared" si="120"/>
        <v>Och-CBur_061_Ex1-1E-lcwgs-1-2</v>
      </c>
      <c r="CR334"/>
    </row>
    <row r="335" spans="1:96" x14ac:dyDescent="0.55000000000000004">
      <c r="A335" s="10" t="s">
        <v>1262</v>
      </c>
      <c r="B335" t="str">
        <f t="shared" si="113"/>
        <v>Och-CBur_062_Ex1</v>
      </c>
      <c r="C335" s="3">
        <v>1</v>
      </c>
      <c r="E335" s="3" t="s">
        <v>1317</v>
      </c>
      <c r="F335" s="3">
        <v>2</v>
      </c>
      <c r="G335" s="3" t="s">
        <v>88</v>
      </c>
      <c r="H335">
        <v>8.0879494102600553</v>
      </c>
      <c r="I335" s="3" t="s">
        <v>74</v>
      </c>
      <c r="J335" s="3">
        <v>0.1</v>
      </c>
      <c r="K335" s="3">
        <v>7.25</v>
      </c>
      <c r="L335" s="3">
        <v>0.33</v>
      </c>
      <c r="O335" s="3">
        <v>100</v>
      </c>
      <c r="P335" s="3">
        <v>12.364073379730087</v>
      </c>
      <c r="R335" s="3">
        <v>10</v>
      </c>
      <c r="Z335">
        <v>2</v>
      </c>
      <c r="AA335" t="s">
        <v>76</v>
      </c>
      <c r="AB335" t="s">
        <v>1318</v>
      </c>
      <c r="AC335" s="3" t="s">
        <v>78</v>
      </c>
      <c r="AD335" s="3">
        <v>8</v>
      </c>
      <c r="AE335">
        <v>2</v>
      </c>
      <c r="AF335" t="s">
        <v>76</v>
      </c>
      <c r="AG335" t="s">
        <v>656</v>
      </c>
      <c r="AH335" s="17" t="s">
        <v>657</v>
      </c>
      <c r="AI335" t="s">
        <v>618</v>
      </c>
      <c r="AJ335" s="18" t="s">
        <v>619</v>
      </c>
      <c r="AO335" s="3">
        <v>7.292842264722589</v>
      </c>
      <c r="AP335" s="3">
        <v>36</v>
      </c>
      <c r="AQ335" s="3">
        <f t="shared" si="112"/>
        <v>262.54232153001323</v>
      </c>
      <c r="BE335" s="3" t="s">
        <v>79</v>
      </c>
      <c r="BF335" s="3" t="s">
        <v>1320</v>
      </c>
      <c r="BG335" s="3" t="s">
        <v>416</v>
      </c>
      <c r="BH335" s="3" t="str">
        <f t="shared" si="114"/>
        <v>Och-CBur_LCWGS-libraries</v>
      </c>
      <c r="BI335" s="3" t="str">
        <f t="shared" si="115"/>
        <v>B2</v>
      </c>
      <c r="BJ335" s="3" t="str">
        <f t="shared" si="116"/>
        <v>Och-TL2-DilutionPlate</v>
      </c>
      <c r="BK335" s="3" t="str">
        <f t="shared" si="117"/>
        <v>C9</v>
      </c>
      <c r="BL335" s="3">
        <v>1.5</v>
      </c>
      <c r="BM335" s="3">
        <v>2</v>
      </c>
      <c r="BN335" s="3">
        <f t="shared" si="118"/>
        <v>5.4696316985419422</v>
      </c>
      <c r="BO335" s="3">
        <f t="shared" si="119"/>
        <v>3.9696316985419422</v>
      </c>
      <c r="BP335" s="3" t="s">
        <v>1321</v>
      </c>
      <c r="BQ335">
        <v>9</v>
      </c>
      <c r="BR335" s="3" t="s">
        <v>83</v>
      </c>
      <c r="BX335" s="21" t="s">
        <v>1322</v>
      </c>
      <c r="BY335" s="3" t="str">
        <f t="shared" si="121"/>
        <v>Och-TL2-DilutionPlate</v>
      </c>
      <c r="BZ335" s="3" t="str">
        <f t="shared" si="122"/>
        <v>C9</v>
      </c>
      <c r="CA335" s="3" t="str">
        <f t="shared" si="123"/>
        <v>Och-C-2</v>
      </c>
      <c r="CC335" s="3">
        <v>1.5</v>
      </c>
      <c r="CD335" s="10" t="s">
        <v>1380</v>
      </c>
      <c r="CE335" s="21" t="str">
        <f t="shared" si="105"/>
        <v>OcC0106202B</v>
      </c>
      <c r="CF335" s="21" t="str">
        <f t="shared" si="124"/>
        <v>Och-CBur_062_Ex1-2B-lcwgs-1-1</v>
      </c>
      <c r="CG335" s="3">
        <f t="shared" ref="CG335:CG358" si="125">IF(ISNUMBER(BM335),CC335*BL335/BN335,CC335)</f>
        <v>0.41136224960078938</v>
      </c>
      <c r="CH335">
        <v>10320289</v>
      </c>
      <c r="CI335">
        <v>8544589</v>
      </c>
      <c r="CJ335" s="27" t="s">
        <v>79</v>
      </c>
      <c r="CK335" s="3">
        <v>11.056441269003436</v>
      </c>
      <c r="CL335" s="3" t="s">
        <v>1611</v>
      </c>
      <c r="CM335" s="33" t="s">
        <v>1744</v>
      </c>
      <c r="CN335" s="3" t="str">
        <f t="shared" si="120"/>
        <v>Och-CBur_062_Ex1-2B-lcwgs-1-2</v>
      </c>
      <c r="CR335"/>
    </row>
    <row r="336" spans="1:96" x14ac:dyDescent="0.55000000000000004">
      <c r="A336" s="10" t="s">
        <v>1267</v>
      </c>
      <c r="B336" t="str">
        <f t="shared" si="113"/>
        <v>Och-CBur_063_Ex1</v>
      </c>
      <c r="C336" s="3">
        <v>1</v>
      </c>
      <c r="E336" s="3" t="s">
        <v>1317</v>
      </c>
      <c r="F336" s="3">
        <v>3</v>
      </c>
      <c r="G336" s="3" t="s">
        <v>88</v>
      </c>
      <c r="H336">
        <v>7.4750781583060952</v>
      </c>
      <c r="I336" s="3" t="s">
        <v>74</v>
      </c>
      <c r="J336" s="3">
        <v>0.1</v>
      </c>
      <c r="K336" s="3">
        <v>7.25</v>
      </c>
      <c r="L336" s="3">
        <v>0.33</v>
      </c>
      <c r="O336" s="3">
        <v>100</v>
      </c>
      <c r="P336" s="3">
        <v>13.377786543794572</v>
      </c>
      <c r="R336" s="3">
        <v>10</v>
      </c>
      <c r="Z336">
        <v>2</v>
      </c>
      <c r="AA336" t="s">
        <v>91</v>
      </c>
      <c r="AB336" t="s">
        <v>1318</v>
      </c>
      <c r="AC336" s="3" t="s">
        <v>78</v>
      </c>
      <c r="AD336" s="3">
        <v>8</v>
      </c>
      <c r="AE336">
        <v>2</v>
      </c>
      <c r="AF336" t="s">
        <v>91</v>
      </c>
      <c r="AG336" t="s">
        <v>666</v>
      </c>
      <c r="AH336" s="17" t="s">
        <v>667</v>
      </c>
      <c r="AI336" t="s">
        <v>618</v>
      </c>
      <c r="AJ336" s="18" t="s">
        <v>619</v>
      </c>
      <c r="AO336" s="3">
        <v>6.4005586063245596</v>
      </c>
      <c r="AP336" s="3">
        <v>36</v>
      </c>
      <c r="AQ336" s="3">
        <f t="shared" si="112"/>
        <v>230.42010982768414</v>
      </c>
      <c r="BE336" s="3" t="s">
        <v>79</v>
      </c>
      <c r="BF336" s="3" t="s">
        <v>1320</v>
      </c>
      <c r="BG336" s="3" t="s">
        <v>416</v>
      </c>
      <c r="BH336" s="3" t="str">
        <f t="shared" si="114"/>
        <v>Och-CBur_LCWGS-libraries</v>
      </c>
      <c r="BI336" s="3" t="str">
        <f t="shared" si="115"/>
        <v>G2</v>
      </c>
      <c r="BJ336" s="3" t="str">
        <f t="shared" si="116"/>
        <v>Och-TL2-DilutionPlate</v>
      </c>
      <c r="BK336" s="3" t="str">
        <f t="shared" si="117"/>
        <v>F5</v>
      </c>
      <c r="BL336" s="3">
        <v>1.5</v>
      </c>
      <c r="BM336" s="3">
        <v>2</v>
      </c>
      <c r="BN336" s="3">
        <f t="shared" si="118"/>
        <v>4.80041895474342</v>
      </c>
      <c r="BO336" s="3">
        <f t="shared" si="119"/>
        <v>3.30041895474342</v>
      </c>
      <c r="BP336" s="3" t="s">
        <v>1321</v>
      </c>
      <c r="BQ336">
        <v>5</v>
      </c>
      <c r="BR336" s="3" t="s">
        <v>88</v>
      </c>
      <c r="BX336" s="21" t="s">
        <v>1322</v>
      </c>
      <c r="BY336" s="3" t="str">
        <f t="shared" si="121"/>
        <v>Och-TL2-DilutionPlate</v>
      </c>
      <c r="BZ336" s="3" t="str">
        <f t="shared" si="122"/>
        <v>F5</v>
      </c>
      <c r="CA336" s="3" t="str">
        <f t="shared" si="123"/>
        <v>Och-C-2</v>
      </c>
      <c r="CC336" s="3">
        <v>1.5</v>
      </c>
      <c r="CD336" s="10" t="s">
        <v>1385</v>
      </c>
      <c r="CE336" s="21" t="str">
        <f t="shared" si="105"/>
        <v>OcC0106302G</v>
      </c>
      <c r="CF336" s="21" t="str">
        <f t="shared" si="124"/>
        <v>Och-CBur_063_Ex1-2G-lcwgs-1-1</v>
      </c>
      <c r="CG336" s="3">
        <f t="shared" si="125"/>
        <v>0.46870909002155237</v>
      </c>
      <c r="CH336">
        <v>12940043</v>
      </c>
      <c r="CI336">
        <v>10623905</v>
      </c>
      <c r="CJ336" s="27" t="s">
        <v>79</v>
      </c>
      <c r="CK336" s="3">
        <v>9.4849205991054184</v>
      </c>
      <c r="CL336" s="3" t="s">
        <v>1611</v>
      </c>
      <c r="CM336" s="33" t="s">
        <v>1745</v>
      </c>
      <c r="CN336" s="3" t="str">
        <f t="shared" si="120"/>
        <v>Och-CBur_063_Ex1-2G-lcwgs-1-2</v>
      </c>
      <c r="CR336"/>
    </row>
    <row r="337" spans="1:96" x14ac:dyDescent="0.55000000000000004">
      <c r="A337" s="10" t="s">
        <v>1273</v>
      </c>
      <c r="B337" t="str">
        <f t="shared" si="113"/>
        <v>Och-CBur_064_Ex1</v>
      </c>
      <c r="C337" s="3">
        <v>1</v>
      </c>
      <c r="E337" s="3" t="s">
        <v>1317</v>
      </c>
      <c r="F337" s="3">
        <v>4</v>
      </c>
      <c r="G337" s="3" t="s">
        <v>88</v>
      </c>
      <c r="H337">
        <v>4.1274975131448057</v>
      </c>
      <c r="I337" s="3" t="s">
        <v>74</v>
      </c>
      <c r="J337" s="3">
        <v>0.1</v>
      </c>
      <c r="K337" s="3">
        <v>7.25</v>
      </c>
      <c r="L337" s="3">
        <v>0.33</v>
      </c>
      <c r="O337" s="3">
        <v>100</v>
      </c>
      <c r="P337" s="3">
        <v>24.22775536061036</v>
      </c>
      <c r="R337" s="3">
        <v>10</v>
      </c>
      <c r="Z337">
        <v>3</v>
      </c>
      <c r="AA337" t="s">
        <v>87</v>
      </c>
      <c r="AB337" t="s">
        <v>1318</v>
      </c>
      <c r="AC337" s="3" t="s">
        <v>78</v>
      </c>
      <c r="AD337" s="3">
        <v>8</v>
      </c>
      <c r="AE337">
        <v>3</v>
      </c>
      <c r="AF337" t="s">
        <v>87</v>
      </c>
      <c r="AG337" t="s">
        <v>662</v>
      </c>
      <c r="AH337" s="17" t="s">
        <v>663</v>
      </c>
      <c r="AI337" t="s">
        <v>620</v>
      </c>
      <c r="AJ337" s="18" t="s">
        <v>621</v>
      </c>
      <c r="AO337" s="3">
        <v>8.0318689642113235</v>
      </c>
      <c r="AP337" s="3">
        <v>36</v>
      </c>
      <c r="AQ337" s="3">
        <f t="shared" si="112"/>
        <v>289.14728271160766</v>
      </c>
      <c r="BE337" s="3" t="s">
        <v>79</v>
      </c>
      <c r="BF337" s="3" t="s">
        <v>1320</v>
      </c>
      <c r="BG337" s="3" t="s">
        <v>416</v>
      </c>
      <c r="BH337" s="3" t="str">
        <f t="shared" si="114"/>
        <v>Och-CBur_LCWGS-libraries</v>
      </c>
      <c r="BI337" s="3" t="str">
        <f t="shared" si="115"/>
        <v>E3</v>
      </c>
      <c r="BJ337" s="3" t="str">
        <f t="shared" si="116"/>
        <v>Och-TL2-DilutionPlate</v>
      </c>
      <c r="BK337" s="3" t="str">
        <f t="shared" si="117"/>
        <v>E6</v>
      </c>
      <c r="BL337" s="3">
        <v>1.5</v>
      </c>
      <c r="BM337" s="3">
        <v>2</v>
      </c>
      <c r="BN337" s="3">
        <f t="shared" si="118"/>
        <v>6.0239017231584926</v>
      </c>
      <c r="BO337" s="3">
        <f t="shared" si="119"/>
        <v>4.5239017231584926</v>
      </c>
      <c r="BP337" s="3" t="s">
        <v>1321</v>
      </c>
      <c r="BQ337">
        <v>6</v>
      </c>
      <c r="BR337" s="3" t="s">
        <v>87</v>
      </c>
      <c r="BX337" s="21" t="s">
        <v>1322</v>
      </c>
      <c r="BY337" s="3" t="str">
        <f t="shared" si="121"/>
        <v>Och-TL2-DilutionPlate</v>
      </c>
      <c r="BZ337" s="3" t="str">
        <f t="shared" si="122"/>
        <v>E6</v>
      </c>
      <c r="CA337" s="3" t="str">
        <f t="shared" si="123"/>
        <v>Och-C-2</v>
      </c>
      <c r="CC337" s="3">
        <v>1.5</v>
      </c>
      <c r="CD337" s="10" t="s">
        <v>1391</v>
      </c>
      <c r="CE337" s="21" t="str">
        <f t="shared" si="105"/>
        <v>OcC0106403E</v>
      </c>
      <c r="CF337" s="21" t="str">
        <f t="shared" si="124"/>
        <v>Och-CBur_064_Ex1-3E-lcwgs-1-1</v>
      </c>
      <c r="CG337" s="3">
        <f t="shared" si="125"/>
        <v>0.37351206965246853</v>
      </c>
      <c r="CH337">
        <v>12587461</v>
      </c>
      <c r="CI337">
        <v>10375626</v>
      </c>
      <c r="CJ337" s="27" t="s">
        <v>79</v>
      </c>
      <c r="CK337" s="3">
        <v>7.8024147282743712</v>
      </c>
      <c r="CL337" s="3" t="s">
        <v>1611</v>
      </c>
      <c r="CM337" s="33" t="s">
        <v>1746</v>
      </c>
      <c r="CN337" s="3" t="str">
        <f t="shared" si="120"/>
        <v>Och-CBur_064_Ex1-3E-lcwgs-1-2</v>
      </c>
      <c r="CR337"/>
    </row>
    <row r="338" spans="1:96" x14ac:dyDescent="0.55000000000000004">
      <c r="A338" s="10" t="s">
        <v>1280</v>
      </c>
      <c r="B338" t="str">
        <f t="shared" si="113"/>
        <v>Och-CBur_065_Ex1</v>
      </c>
      <c r="C338" s="3">
        <v>1</v>
      </c>
      <c r="E338" s="3" t="s">
        <v>1317</v>
      </c>
      <c r="F338" s="3">
        <v>5</v>
      </c>
      <c r="G338" s="3" t="s">
        <v>88</v>
      </c>
      <c r="H338">
        <v>3.8156707403723171</v>
      </c>
      <c r="I338" s="3" t="s">
        <v>74</v>
      </c>
      <c r="J338" s="3">
        <v>0.1</v>
      </c>
      <c r="K338" s="3">
        <v>7.25</v>
      </c>
      <c r="L338" s="3">
        <v>0.33</v>
      </c>
      <c r="O338" s="3">
        <v>100</v>
      </c>
      <c r="P338" s="3">
        <v>26.207712039179359</v>
      </c>
      <c r="R338" s="3">
        <v>10</v>
      </c>
      <c r="Z338">
        <v>4</v>
      </c>
      <c r="AA338" t="s">
        <v>84</v>
      </c>
      <c r="AB338" t="s">
        <v>1318</v>
      </c>
      <c r="AC338" s="3" t="s">
        <v>78</v>
      </c>
      <c r="AD338" s="3">
        <v>8</v>
      </c>
      <c r="AE338">
        <v>4</v>
      </c>
      <c r="AF338" t="s">
        <v>84</v>
      </c>
      <c r="AG338" t="s">
        <v>660</v>
      </c>
      <c r="AH338" s="17" t="s">
        <v>661</v>
      </c>
      <c r="AI338" t="s">
        <v>622</v>
      </c>
      <c r="AJ338" s="18" t="s">
        <v>623</v>
      </c>
      <c r="AO338" s="3">
        <v>5.6199914788865746</v>
      </c>
      <c r="AP338" s="3">
        <v>36</v>
      </c>
      <c r="AQ338" s="3">
        <f t="shared" si="112"/>
        <v>202.31969323991669</v>
      </c>
      <c r="BE338" s="3" t="s">
        <v>79</v>
      </c>
      <c r="BF338" s="3" t="s">
        <v>1320</v>
      </c>
      <c r="BG338" s="3" t="s">
        <v>416</v>
      </c>
      <c r="BH338" s="3" t="str">
        <f t="shared" si="114"/>
        <v>Och-CBur_LCWGS-libraries</v>
      </c>
      <c r="BI338" s="3" t="str">
        <f t="shared" si="115"/>
        <v>D4</v>
      </c>
      <c r="BJ338" s="3" t="str">
        <f t="shared" si="116"/>
        <v>Och-TL2-DilutionPlate</v>
      </c>
      <c r="BK338" s="3" t="str">
        <f t="shared" si="117"/>
        <v>D12</v>
      </c>
      <c r="BL338" s="3">
        <v>1.5</v>
      </c>
      <c r="BM338" s="3">
        <v>2</v>
      </c>
      <c r="BN338" s="3">
        <f t="shared" si="118"/>
        <v>4.2149936091649307</v>
      </c>
      <c r="BO338" s="3">
        <f t="shared" si="119"/>
        <v>2.7149936091649307</v>
      </c>
      <c r="BP338" s="3" t="s">
        <v>1321</v>
      </c>
      <c r="BQ338">
        <v>12</v>
      </c>
      <c r="BR338" s="3" t="s">
        <v>84</v>
      </c>
      <c r="BX338" s="21" t="s">
        <v>1322</v>
      </c>
      <c r="BY338" s="3" t="str">
        <f t="shared" si="121"/>
        <v>Och-TL2-DilutionPlate</v>
      </c>
      <c r="BZ338" s="3" t="str">
        <f t="shared" si="122"/>
        <v>D12</v>
      </c>
      <c r="CA338" s="3" t="str">
        <f t="shared" si="123"/>
        <v>Och-C-2</v>
      </c>
      <c r="CC338" s="3">
        <v>1.5</v>
      </c>
      <c r="CD338" s="10" t="s">
        <v>1398</v>
      </c>
      <c r="CE338" s="21" t="str">
        <f t="shared" si="105"/>
        <v>OcC0106504D</v>
      </c>
      <c r="CF338" s="21" t="str">
        <f t="shared" si="124"/>
        <v>Och-CBur_065_Ex1-4D-lcwgs-1-1</v>
      </c>
      <c r="CG338" s="3">
        <f t="shared" si="125"/>
        <v>0.53380863854874672</v>
      </c>
      <c r="CH338">
        <v>10098223</v>
      </c>
      <c r="CI338">
        <v>8416395</v>
      </c>
      <c r="CJ338" s="27" t="s">
        <v>79</v>
      </c>
      <c r="CK338" s="3">
        <v>14.623407433952382</v>
      </c>
      <c r="CL338" s="3" t="s">
        <v>1611</v>
      </c>
      <c r="CM338" s="33" t="s">
        <v>1747</v>
      </c>
      <c r="CN338" s="3" t="str">
        <f t="shared" si="120"/>
        <v>Och-CBur_065_Ex1-4D-lcwgs-1-2</v>
      </c>
      <c r="CR338"/>
    </row>
    <row r="339" spans="1:96" x14ac:dyDescent="0.55000000000000004">
      <c r="A339" s="10" t="s">
        <v>1287</v>
      </c>
      <c r="B339" t="str">
        <f t="shared" si="113"/>
        <v>Och-CBur_066_Ex1</v>
      </c>
      <c r="C339" s="3">
        <v>1</v>
      </c>
      <c r="E339" s="3" t="s">
        <v>1317</v>
      </c>
      <c r="F339" s="3">
        <v>6</v>
      </c>
      <c r="G339" s="3" t="s">
        <v>88</v>
      </c>
      <c r="H339">
        <v>7.0095957083984661</v>
      </c>
      <c r="I339" s="3" t="s">
        <v>74</v>
      </c>
      <c r="J339" s="3">
        <v>0.1</v>
      </c>
      <c r="K339" s="3">
        <v>7.25</v>
      </c>
      <c r="L339" s="3">
        <v>0.33</v>
      </c>
      <c r="O339" s="3">
        <v>100</v>
      </c>
      <c r="P339" s="3">
        <v>14.266158015388271</v>
      </c>
      <c r="R339" s="3">
        <v>10</v>
      </c>
      <c r="Z339">
        <v>5</v>
      </c>
      <c r="AA339" t="s">
        <v>83</v>
      </c>
      <c r="AB339" t="s">
        <v>1318</v>
      </c>
      <c r="AC339" s="3" t="s">
        <v>78</v>
      </c>
      <c r="AD339" s="3">
        <v>8</v>
      </c>
      <c r="AE339">
        <v>5</v>
      </c>
      <c r="AF339" t="s">
        <v>83</v>
      </c>
      <c r="AG339" t="s">
        <v>658</v>
      </c>
      <c r="AH339" s="17" t="s">
        <v>659</v>
      </c>
      <c r="AI339" t="s">
        <v>624</v>
      </c>
      <c r="AJ339" s="18" t="s">
        <v>625</v>
      </c>
      <c r="AO339" s="3">
        <v>0.70867733383828813</v>
      </c>
      <c r="AP339" s="3">
        <v>36</v>
      </c>
      <c r="AQ339" s="3">
        <f t="shared" si="112"/>
        <v>25.512384018178373</v>
      </c>
      <c r="BE339" s="3" t="s">
        <v>79</v>
      </c>
      <c r="BF339" s="3" t="s">
        <v>1320</v>
      </c>
      <c r="BG339" s="3" t="s">
        <v>186</v>
      </c>
      <c r="BH339" s="3" t="s">
        <v>186</v>
      </c>
      <c r="BI339" s="3" t="s">
        <v>186</v>
      </c>
      <c r="BJ339" s="3" t="s">
        <v>186</v>
      </c>
      <c r="BK339" s="3" t="s">
        <v>186</v>
      </c>
      <c r="BL339" s="3" t="s">
        <v>186</v>
      </c>
      <c r="BM339" s="3" t="s">
        <v>186</v>
      </c>
      <c r="BN339" s="3" t="s">
        <v>186</v>
      </c>
      <c r="BO339" s="3" t="s">
        <v>186</v>
      </c>
      <c r="BP339" s="3" t="s">
        <v>186</v>
      </c>
      <c r="BQ339" s="3" t="s">
        <v>186</v>
      </c>
      <c r="BR339" s="3" t="s">
        <v>186</v>
      </c>
      <c r="BS339" s="3" t="s">
        <v>186</v>
      </c>
      <c r="BT339" s="3" t="s">
        <v>186</v>
      </c>
      <c r="BU339" s="3" t="s">
        <v>186</v>
      </c>
      <c r="BV339" s="3" t="s">
        <v>186</v>
      </c>
      <c r="BW339" s="3" t="s">
        <v>186</v>
      </c>
      <c r="BX339" s="21" t="s">
        <v>1322</v>
      </c>
      <c r="BY339" s="3" t="str">
        <f t="shared" si="121"/>
        <v>Och-CBur_LCWGS-libraries</v>
      </c>
      <c r="BZ339" s="3" t="str">
        <f t="shared" si="122"/>
        <v>C5</v>
      </c>
      <c r="CA339" s="3" t="str">
        <f t="shared" si="123"/>
        <v>Och-C-2</v>
      </c>
      <c r="CC339" s="3">
        <v>1.5</v>
      </c>
      <c r="CD339" s="10" t="s">
        <v>1405</v>
      </c>
      <c r="CE339" s="21" t="str">
        <f t="shared" si="105"/>
        <v>OcC0106605C</v>
      </c>
      <c r="CF339" s="21" t="str">
        <f t="shared" si="124"/>
        <v>Och-CBur_066_Ex1-5C-lcwgs-1-1</v>
      </c>
      <c r="CG339" s="3">
        <f t="shared" si="125"/>
        <v>1.5</v>
      </c>
      <c r="CH339">
        <v>4645382</v>
      </c>
      <c r="CI339">
        <v>3784795</v>
      </c>
      <c r="CJ339" s="27" t="s">
        <v>185</v>
      </c>
      <c r="CK339" s="3">
        <v>0</v>
      </c>
      <c r="CM339" s="33"/>
    </row>
    <row r="340" spans="1:96" x14ac:dyDescent="0.55000000000000004">
      <c r="A340" s="10" t="s">
        <v>1292</v>
      </c>
      <c r="B340" t="str">
        <f t="shared" si="113"/>
        <v>Och-CBur_067_Ex1</v>
      </c>
      <c r="C340" s="3">
        <v>1</v>
      </c>
      <c r="E340" s="3" t="s">
        <v>1317</v>
      </c>
      <c r="F340" s="3">
        <v>7</v>
      </c>
      <c r="G340" s="3" t="s">
        <v>88</v>
      </c>
      <c r="H340">
        <v>6.5336933352280795</v>
      </c>
      <c r="I340" s="3" t="s">
        <v>74</v>
      </c>
      <c r="J340" s="3">
        <v>0.1</v>
      </c>
      <c r="K340" s="3">
        <v>7.25</v>
      </c>
      <c r="L340" s="3">
        <v>0.33</v>
      </c>
      <c r="O340" s="3">
        <v>100</v>
      </c>
      <c r="P340" s="3">
        <v>15.305279092427618</v>
      </c>
      <c r="R340" s="3">
        <v>10</v>
      </c>
      <c r="Z340">
        <v>5</v>
      </c>
      <c r="AA340" t="s">
        <v>92</v>
      </c>
      <c r="AB340" t="s">
        <v>1318</v>
      </c>
      <c r="AC340" s="3" t="s">
        <v>78</v>
      </c>
      <c r="AD340" s="3">
        <v>8</v>
      </c>
      <c r="AE340">
        <v>5</v>
      </c>
      <c r="AF340" t="s">
        <v>92</v>
      </c>
      <c r="AG340" t="s">
        <v>668</v>
      </c>
      <c r="AH340" s="17" t="s">
        <v>669</v>
      </c>
      <c r="AI340" t="s">
        <v>624</v>
      </c>
      <c r="AJ340" s="18" t="s">
        <v>625</v>
      </c>
      <c r="AO340" s="3">
        <v>1.7440683582654799</v>
      </c>
      <c r="AP340" s="3">
        <v>36</v>
      </c>
      <c r="AQ340" s="3">
        <f t="shared" si="112"/>
        <v>62.786460897557276</v>
      </c>
      <c r="BE340" s="3" t="s">
        <v>79</v>
      </c>
      <c r="BF340" s="3" t="s">
        <v>1320</v>
      </c>
      <c r="BG340" s="3" t="s">
        <v>186</v>
      </c>
      <c r="BH340" s="3" t="s">
        <v>186</v>
      </c>
      <c r="BI340" s="3" t="s">
        <v>186</v>
      </c>
      <c r="BJ340" s="3" t="s">
        <v>186</v>
      </c>
      <c r="BK340" s="3" t="s">
        <v>186</v>
      </c>
      <c r="BL340" s="3" t="s">
        <v>186</v>
      </c>
      <c r="BM340" s="3" t="s">
        <v>186</v>
      </c>
      <c r="BN340" s="3" t="s">
        <v>186</v>
      </c>
      <c r="BO340" s="3" t="s">
        <v>186</v>
      </c>
      <c r="BP340" s="3" t="s">
        <v>186</v>
      </c>
      <c r="BQ340" s="3" t="s">
        <v>186</v>
      </c>
      <c r="BR340" s="3" t="s">
        <v>186</v>
      </c>
      <c r="BS340" s="3" t="s">
        <v>186</v>
      </c>
      <c r="BT340" s="3" t="s">
        <v>186</v>
      </c>
      <c r="BU340" s="3" t="s">
        <v>186</v>
      </c>
      <c r="BV340" s="3" t="s">
        <v>186</v>
      </c>
      <c r="BW340" s="3" t="s">
        <v>186</v>
      </c>
      <c r="BX340" s="21" t="s">
        <v>1322</v>
      </c>
      <c r="BY340" s="3" t="str">
        <f t="shared" si="121"/>
        <v>Och-CBur_LCWGS-libraries</v>
      </c>
      <c r="BZ340" s="3" t="str">
        <f t="shared" si="122"/>
        <v>H5</v>
      </c>
      <c r="CA340" s="3" t="str">
        <f t="shared" si="123"/>
        <v>Och-C-2</v>
      </c>
      <c r="CC340" s="3">
        <v>1.5</v>
      </c>
      <c r="CD340" s="10" t="s">
        <v>1410</v>
      </c>
      <c r="CE340" s="21" t="str">
        <f t="shared" si="105"/>
        <v>OcC0106705H</v>
      </c>
      <c r="CF340" s="21" t="str">
        <f t="shared" si="124"/>
        <v>Och-CBur_067_Ex1-5H-lcwgs-1-1</v>
      </c>
      <c r="CG340" s="3">
        <f t="shared" si="125"/>
        <v>1.5</v>
      </c>
      <c r="CH340">
        <v>17007293</v>
      </c>
      <c r="CI340">
        <v>13200487</v>
      </c>
      <c r="CJ340" s="27" t="s">
        <v>185</v>
      </c>
      <c r="CK340" s="3">
        <v>0</v>
      </c>
      <c r="CM340" s="33"/>
    </row>
    <row r="341" spans="1:96" x14ac:dyDescent="0.55000000000000004">
      <c r="A341" s="10" t="s">
        <v>1301</v>
      </c>
      <c r="B341" t="str">
        <f t="shared" si="113"/>
        <v>Och-CBur_069_Ex1</v>
      </c>
      <c r="C341" s="3">
        <v>1</v>
      </c>
      <c r="E341" s="3" t="s">
        <v>1317</v>
      </c>
      <c r="F341" s="3">
        <v>9</v>
      </c>
      <c r="G341" s="3" t="s">
        <v>88</v>
      </c>
      <c r="H341">
        <v>9.9885355975557779</v>
      </c>
      <c r="I341" s="3" t="s">
        <v>74</v>
      </c>
      <c r="J341" s="3">
        <v>0.1</v>
      </c>
      <c r="K341" s="3">
        <v>7.25</v>
      </c>
      <c r="L341" s="3">
        <v>0.33</v>
      </c>
      <c r="O341" s="3">
        <v>100</v>
      </c>
      <c r="P341" s="3">
        <v>10.01147756078181</v>
      </c>
      <c r="R341" s="3">
        <v>10</v>
      </c>
      <c r="Z341">
        <v>7</v>
      </c>
      <c r="AA341" t="s">
        <v>73</v>
      </c>
      <c r="AB341" t="s">
        <v>1318</v>
      </c>
      <c r="AC341" s="3" t="s">
        <v>78</v>
      </c>
      <c r="AD341" s="3">
        <v>8</v>
      </c>
      <c r="AE341">
        <v>7</v>
      </c>
      <c r="AF341" t="s">
        <v>73</v>
      </c>
      <c r="AG341" t="s">
        <v>652</v>
      </c>
      <c r="AH341" s="17" t="s">
        <v>653</v>
      </c>
      <c r="AI341" t="s">
        <v>628</v>
      </c>
      <c r="AJ341" s="18" t="s">
        <v>629</v>
      </c>
      <c r="AO341" s="3">
        <v>7.4593826926718414</v>
      </c>
      <c r="AP341" s="3">
        <v>36</v>
      </c>
      <c r="AQ341" s="3">
        <f t="shared" si="112"/>
        <v>268.53777693618628</v>
      </c>
      <c r="BE341" s="3" t="s">
        <v>79</v>
      </c>
      <c r="BF341" s="3" t="s">
        <v>1320</v>
      </c>
      <c r="BG341" s="3" t="s">
        <v>416</v>
      </c>
      <c r="BH341" s="3" t="str">
        <f t="shared" ref="BH341:BH348" si="126">AB341</f>
        <v>Och-CBur_LCWGS-libraries</v>
      </c>
      <c r="BI341" s="3" t="str">
        <f t="shared" ref="BI341:BI348" si="127">AA341&amp;Z341</f>
        <v>A7</v>
      </c>
      <c r="BJ341" s="3" t="str">
        <f t="shared" ref="BJ341:BJ348" si="128">BP341</f>
        <v>Och-TL2-DilutionPlate</v>
      </c>
      <c r="BK341" s="3" t="str">
        <f t="shared" ref="BK341:BK348" si="129">BR341&amp;BQ341</f>
        <v>C6</v>
      </c>
      <c r="BL341" s="3">
        <v>1.5</v>
      </c>
      <c r="BM341" s="3">
        <v>2</v>
      </c>
      <c r="BN341" s="3">
        <f t="shared" ref="BN341:BN348" si="130">AO341*BL341/BM341</f>
        <v>5.594537019503881</v>
      </c>
      <c r="BO341" s="3">
        <f t="shared" ref="BO341:BO348" si="131">BN341-BL341</f>
        <v>4.094537019503881</v>
      </c>
      <c r="BP341" s="3" t="s">
        <v>1321</v>
      </c>
      <c r="BQ341">
        <v>6</v>
      </c>
      <c r="BR341" s="3" t="s">
        <v>83</v>
      </c>
      <c r="BX341" s="21" t="s">
        <v>1322</v>
      </c>
      <c r="BY341" s="3" t="str">
        <f t="shared" si="121"/>
        <v>Och-TL2-DilutionPlate</v>
      </c>
      <c r="BZ341" s="3" t="str">
        <f t="shared" si="122"/>
        <v>C6</v>
      </c>
      <c r="CA341" s="3" t="str">
        <f t="shared" si="123"/>
        <v>Och-C-2</v>
      </c>
      <c r="CC341" s="3">
        <v>1.5</v>
      </c>
      <c r="CD341" s="10" t="s">
        <v>1419</v>
      </c>
      <c r="CE341" s="21" t="str">
        <f t="shared" si="105"/>
        <v>OcC0106907A</v>
      </c>
      <c r="CF341" s="21" t="str">
        <f t="shared" si="124"/>
        <v>Och-CBur_069_Ex1-7A-lcwgs-1-1</v>
      </c>
      <c r="CG341" s="3">
        <f t="shared" si="125"/>
        <v>0.40217805193816164</v>
      </c>
      <c r="CH341">
        <v>12386888</v>
      </c>
      <c r="CI341">
        <v>10112560</v>
      </c>
      <c r="CJ341" s="27" t="s">
        <v>79</v>
      </c>
      <c r="CK341" s="3">
        <v>8.6935889781109399</v>
      </c>
      <c r="CL341" s="3" t="s">
        <v>1611</v>
      </c>
      <c r="CM341" s="33" t="s">
        <v>1748</v>
      </c>
      <c r="CN341" s="3" t="str">
        <f>B341&amp;"-"&amp;Z341&amp;AA341&amp;"-lcwgs-"&amp;C341&amp;"-2"</f>
        <v>Och-CBur_069_Ex1-7A-lcwgs-1-2</v>
      </c>
      <c r="CR341"/>
    </row>
    <row r="342" spans="1:96" x14ac:dyDescent="0.55000000000000004">
      <c r="A342" s="10" t="s">
        <v>1305</v>
      </c>
      <c r="B342" t="str">
        <f t="shared" si="113"/>
        <v>Och-CBur_070_Ex1</v>
      </c>
      <c r="C342" s="3">
        <v>1</v>
      </c>
      <c r="E342" s="3" t="s">
        <v>1317</v>
      </c>
      <c r="F342" s="3">
        <v>10</v>
      </c>
      <c r="G342" s="3" t="s">
        <v>88</v>
      </c>
      <c r="H342">
        <v>4.7639619155890287</v>
      </c>
      <c r="I342" s="3" t="s">
        <v>74</v>
      </c>
      <c r="J342" s="3">
        <v>0.1</v>
      </c>
      <c r="K342" s="3">
        <v>7.25</v>
      </c>
      <c r="L342" s="3">
        <v>0.33</v>
      </c>
      <c r="O342" s="3">
        <v>100</v>
      </c>
      <c r="P342" s="3">
        <v>20.990931869705289</v>
      </c>
      <c r="R342" s="3">
        <v>10</v>
      </c>
      <c r="Z342">
        <v>7</v>
      </c>
      <c r="AA342" t="s">
        <v>87</v>
      </c>
      <c r="AB342" t="s">
        <v>1318</v>
      </c>
      <c r="AC342" s="3" t="s">
        <v>78</v>
      </c>
      <c r="AD342" s="3">
        <v>8</v>
      </c>
      <c r="AE342">
        <v>7</v>
      </c>
      <c r="AF342" t="s">
        <v>87</v>
      </c>
      <c r="AG342" t="s">
        <v>662</v>
      </c>
      <c r="AH342" s="17" t="s">
        <v>663</v>
      </c>
      <c r="AI342" t="s">
        <v>628</v>
      </c>
      <c r="AJ342" s="18" t="s">
        <v>629</v>
      </c>
      <c r="AO342" s="3">
        <v>4.6486413558038251</v>
      </c>
      <c r="AP342" s="3">
        <v>36</v>
      </c>
      <c r="AQ342" s="3">
        <f t="shared" si="112"/>
        <v>167.3510888089377</v>
      </c>
      <c r="BE342" s="3" t="s">
        <v>79</v>
      </c>
      <c r="BF342" s="3" t="s">
        <v>1320</v>
      </c>
      <c r="BG342" s="3" t="s">
        <v>416</v>
      </c>
      <c r="BH342" s="3" t="str">
        <f t="shared" si="126"/>
        <v>Och-CBur_LCWGS-libraries</v>
      </c>
      <c r="BI342" s="3" t="str">
        <f t="shared" si="127"/>
        <v>E7</v>
      </c>
      <c r="BJ342" s="3" t="str">
        <f t="shared" si="128"/>
        <v>Och-TL2-DilutionPlate</v>
      </c>
      <c r="BK342" s="3" t="str">
        <f t="shared" si="129"/>
        <v>E9</v>
      </c>
      <c r="BL342" s="3">
        <v>1.5</v>
      </c>
      <c r="BM342" s="3">
        <v>2</v>
      </c>
      <c r="BN342" s="3">
        <f t="shared" si="130"/>
        <v>3.4864810168528688</v>
      </c>
      <c r="BO342" s="3">
        <f t="shared" si="131"/>
        <v>1.9864810168528688</v>
      </c>
      <c r="BP342" s="3" t="s">
        <v>1321</v>
      </c>
      <c r="BQ342">
        <v>9</v>
      </c>
      <c r="BR342" s="3" t="s">
        <v>87</v>
      </c>
      <c r="BX342" s="21" t="s">
        <v>1322</v>
      </c>
      <c r="BY342" s="3" t="str">
        <f t="shared" si="121"/>
        <v>Och-TL2-DilutionPlate</v>
      </c>
      <c r="BZ342" s="3" t="str">
        <f t="shared" si="122"/>
        <v>E9</v>
      </c>
      <c r="CA342" s="3" t="str">
        <f t="shared" si="123"/>
        <v>Och-C-2</v>
      </c>
      <c r="CC342" s="3">
        <v>1.5</v>
      </c>
      <c r="CD342" s="10" t="s">
        <v>1423</v>
      </c>
      <c r="CE342" s="21" t="str">
        <f t="shared" si="105"/>
        <v>OcC0107007E</v>
      </c>
      <c r="CF342" s="21" t="str">
        <f t="shared" si="124"/>
        <v>Och-CBur_070_Ex1-7E-lcwgs-1-1</v>
      </c>
      <c r="CG342" s="3">
        <f t="shared" si="125"/>
        <v>0.64534984964036912</v>
      </c>
      <c r="CH342">
        <v>10702787</v>
      </c>
      <c r="CI342">
        <v>8829134</v>
      </c>
      <c r="CJ342" s="27" t="s">
        <v>79</v>
      </c>
      <c r="CK342" s="3">
        <v>16.639725813969168</v>
      </c>
      <c r="CL342" s="3" t="s">
        <v>1611</v>
      </c>
      <c r="CM342" s="33" t="s">
        <v>1749</v>
      </c>
      <c r="CN342" s="3" t="str">
        <f>B342&amp;"-"&amp;Z342&amp;AA342&amp;"-lcwgs-"&amp;C342&amp;"-2"</f>
        <v>Och-CBur_070_Ex1-7E-lcwgs-1-2</v>
      </c>
      <c r="CR342"/>
    </row>
    <row r="343" spans="1:96" x14ac:dyDescent="0.55000000000000004">
      <c r="A343" s="10" t="s">
        <v>1311</v>
      </c>
      <c r="B343" t="str">
        <f t="shared" si="113"/>
        <v>Och-CBur_071_Ex1</v>
      </c>
      <c r="C343" s="3">
        <v>1</v>
      </c>
      <c r="E343" s="3" t="s">
        <v>1317</v>
      </c>
      <c r="F343" s="3">
        <v>11</v>
      </c>
      <c r="G343" s="3" t="s">
        <v>88</v>
      </c>
      <c r="H343">
        <v>6.4419745630240159</v>
      </c>
      <c r="I343" s="3" t="s">
        <v>74</v>
      </c>
      <c r="J343" s="3">
        <v>0.1</v>
      </c>
      <c r="K343" s="3">
        <v>7.25</v>
      </c>
      <c r="L343" s="3">
        <v>0.33</v>
      </c>
      <c r="O343" s="3">
        <v>100</v>
      </c>
      <c r="P343" s="3">
        <v>15.523190757999147</v>
      </c>
      <c r="R343" s="3">
        <v>10</v>
      </c>
      <c r="Z343">
        <v>8</v>
      </c>
      <c r="AA343" t="s">
        <v>83</v>
      </c>
      <c r="AB343" t="s">
        <v>1318</v>
      </c>
      <c r="AC343" s="3" t="s">
        <v>78</v>
      </c>
      <c r="AD343" s="3">
        <v>8</v>
      </c>
      <c r="AE343">
        <v>8</v>
      </c>
      <c r="AF343" t="s">
        <v>83</v>
      </c>
      <c r="AG343" t="s">
        <v>658</v>
      </c>
      <c r="AH343" s="17" t="s">
        <v>659</v>
      </c>
      <c r="AI343" t="s">
        <v>630</v>
      </c>
      <c r="AJ343" s="18" t="s">
        <v>631</v>
      </c>
      <c r="AO343" s="3">
        <v>4.7235608786214733</v>
      </c>
      <c r="AP343" s="3">
        <v>36</v>
      </c>
      <c r="AQ343" s="3">
        <f t="shared" si="112"/>
        <v>170.04819163037303</v>
      </c>
      <c r="BE343" s="3" t="s">
        <v>79</v>
      </c>
      <c r="BF343" s="3" t="s">
        <v>1320</v>
      </c>
      <c r="BG343" s="3" t="s">
        <v>416</v>
      </c>
      <c r="BH343" s="3" t="str">
        <f t="shared" si="126"/>
        <v>Och-CBur_LCWGS-libraries</v>
      </c>
      <c r="BI343" s="3" t="str">
        <f t="shared" si="127"/>
        <v>C8</v>
      </c>
      <c r="BJ343" s="3" t="str">
        <f t="shared" si="128"/>
        <v>Och-TL2-DilutionPlate</v>
      </c>
      <c r="BK343" s="3" t="str">
        <f t="shared" si="129"/>
        <v>D8</v>
      </c>
      <c r="BL343" s="3">
        <v>1.5</v>
      </c>
      <c r="BM343" s="3">
        <v>2</v>
      </c>
      <c r="BN343" s="3">
        <f t="shared" si="130"/>
        <v>3.542670658966105</v>
      </c>
      <c r="BO343" s="3">
        <f t="shared" si="131"/>
        <v>2.042670658966105</v>
      </c>
      <c r="BP343" s="3" t="s">
        <v>1321</v>
      </c>
      <c r="BQ343">
        <v>8</v>
      </c>
      <c r="BR343" s="3" t="s">
        <v>84</v>
      </c>
      <c r="BX343" s="21" t="s">
        <v>1322</v>
      </c>
      <c r="BY343" s="3" t="str">
        <f t="shared" si="121"/>
        <v>Och-TL2-DilutionPlate</v>
      </c>
      <c r="BZ343" s="3" t="str">
        <f t="shared" si="122"/>
        <v>D8</v>
      </c>
      <c r="CA343" s="3" t="str">
        <f t="shared" si="123"/>
        <v>Och-C-2</v>
      </c>
      <c r="CC343" s="3">
        <v>1.5</v>
      </c>
      <c r="CD343" s="10" t="s">
        <v>1429</v>
      </c>
      <c r="CE343" s="21" t="str">
        <f t="shared" si="105"/>
        <v>OcC0107108C</v>
      </c>
      <c r="CF343" s="21" t="str">
        <f t="shared" si="124"/>
        <v>Och-CBur_071_Ex1-8C-lcwgs-1-1</v>
      </c>
      <c r="CG343" s="3">
        <f t="shared" si="125"/>
        <v>0.63511407539549314</v>
      </c>
      <c r="CH343">
        <v>7322182</v>
      </c>
      <c r="CI343">
        <v>5972541</v>
      </c>
      <c r="CJ343" s="27" t="s">
        <v>185</v>
      </c>
      <c r="CK343" s="3">
        <v>0</v>
      </c>
      <c r="CM343" s="33"/>
      <c r="CR343"/>
    </row>
    <row r="344" spans="1:96" x14ac:dyDescent="0.55000000000000004">
      <c r="A344" s="10" t="s">
        <v>1315</v>
      </c>
      <c r="B344" t="str">
        <f t="shared" si="113"/>
        <v>Och-CBur_072_Ex1</v>
      </c>
      <c r="C344" s="3">
        <v>1</v>
      </c>
      <c r="E344" s="3" t="s">
        <v>1317</v>
      </c>
      <c r="F344" s="3">
        <v>12</v>
      </c>
      <c r="G344" s="3" t="s">
        <v>88</v>
      </c>
      <c r="H344">
        <v>7.744134574392497</v>
      </c>
      <c r="I344" s="3" t="s">
        <v>74</v>
      </c>
      <c r="J344" s="3">
        <v>0.1</v>
      </c>
      <c r="K344" s="3">
        <v>7.25</v>
      </c>
      <c r="L344" s="3">
        <v>0.33</v>
      </c>
      <c r="O344" s="3">
        <v>100</v>
      </c>
      <c r="P344" s="3">
        <v>12.912998739803626</v>
      </c>
      <c r="R344" s="3">
        <v>10</v>
      </c>
      <c r="Z344">
        <v>8</v>
      </c>
      <c r="AA344" t="s">
        <v>91</v>
      </c>
      <c r="AB344" t="s">
        <v>1318</v>
      </c>
      <c r="AC344" s="3" t="s">
        <v>78</v>
      </c>
      <c r="AD344" s="3">
        <v>8</v>
      </c>
      <c r="AE344">
        <v>8</v>
      </c>
      <c r="AF344" t="s">
        <v>91</v>
      </c>
      <c r="AG344" t="s">
        <v>666</v>
      </c>
      <c r="AH344" s="17" t="s">
        <v>667</v>
      </c>
      <c r="AI344" t="s">
        <v>630</v>
      </c>
      <c r="AJ344" s="18" t="s">
        <v>631</v>
      </c>
      <c r="AO344" s="3">
        <v>6.5065659912895288</v>
      </c>
      <c r="AP344" s="3">
        <v>36</v>
      </c>
      <c r="AQ344" s="3">
        <f t="shared" si="112"/>
        <v>234.23637568642303</v>
      </c>
      <c r="BE344" s="3" t="s">
        <v>79</v>
      </c>
      <c r="BF344" s="3" t="s">
        <v>1320</v>
      </c>
      <c r="BG344" s="3" t="s">
        <v>416</v>
      </c>
      <c r="BH344" s="3" t="str">
        <f t="shared" si="126"/>
        <v>Och-CBur_LCWGS-libraries</v>
      </c>
      <c r="BI344" s="3" t="str">
        <f t="shared" si="127"/>
        <v>G8</v>
      </c>
      <c r="BJ344" s="3" t="str">
        <f t="shared" si="128"/>
        <v>Och-TL2-DilutionPlate</v>
      </c>
      <c r="BK344" s="3" t="str">
        <f t="shared" si="129"/>
        <v>F11</v>
      </c>
      <c r="BL344" s="3">
        <v>1.5</v>
      </c>
      <c r="BM344" s="3">
        <v>2</v>
      </c>
      <c r="BN344" s="3">
        <f t="shared" si="130"/>
        <v>4.8799244934671471</v>
      </c>
      <c r="BO344" s="3">
        <f t="shared" si="131"/>
        <v>3.3799244934671471</v>
      </c>
      <c r="BP344" s="3" t="s">
        <v>1321</v>
      </c>
      <c r="BQ344">
        <v>11</v>
      </c>
      <c r="BR344" s="3" t="s">
        <v>88</v>
      </c>
      <c r="BX344" s="21" t="s">
        <v>1322</v>
      </c>
      <c r="BY344" s="3" t="str">
        <f t="shared" si="121"/>
        <v>Och-TL2-DilutionPlate</v>
      </c>
      <c r="BZ344" s="3" t="str">
        <f t="shared" si="122"/>
        <v>F11</v>
      </c>
      <c r="CA344" s="3" t="str">
        <f t="shared" si="123"/>
        <v>Och-C-2</v>
      </c>
      <c r="CC344" s="3">
        <v>1.5</v>
      </c>
      <c r="CD344" s="10" t="s">
        <v>1433</v>
      </c>
      <c r="CE344" s="21" t="str">
        <f t="shared" si="105"/>
        <v>OcC0107208G</v>
      </c>
      <c r="CF344" s="21" t="str">
        <f t="shared" si="124"/>
        <v>Och-CBur_072_Ex1-8G-lcwgs-1-1</v>
      </c>
      <c r="CG344" s="3">
        <f t="shared" si="125"/>
        <v>0.46107270778720455</v>
      </c>
      <c r="CH344">
        <v>8905350</v>
      </c>
      <c r="CI344">
        <v>7316541</v>
      </c>
      <c r="CJ344" s="27" t="s">
        <v>79</v>
      </c>
      <c r="CK344" s="3">
        <v>15.018571840441584</v>
      </c>
      <c r="CL344" s="3" t="s">
        <v>1611</v>
      </c>
      <c r="CM344" s="33" t="s">
        <v>1750</v>
      </c>
      <c r="CN344" s="3" t="str">
        <f>B344&amp;"-"&amp;Z344&amp;AA344&amp;"-lcwgs-"&amp;C344&amp;"-2"</f>
        <v>Och-CBur_072_Ex1-8G-lcwgs-1-2</v>
      </c>
      <c r="CR344"/>
    </row>
    <row r="345" spans="1:96" x14ac:dyDescent="0.55000000000000004">
      <c r="A345" s="10" t="s">
        <v>1258</v>
      </c>
      <c r="B345" t="str">
        <f t="shared" si="113"/>
        <v>Och-CBur_073_Ex1</v>
      </c>
      <c r="C345" s="3">
        <v>1</v>
      </c>
      <c r="E345" s="3" t="s">
        <v>1317</v>
      </c>
      <c r="F345" s="3">
        <v>1</v>
      </c>
      <c r="G345" s="3" t="s">
        <v>91</v>
      </c>
      <c r="H345">
        <v>7.1703424754867129</v>
      </c>
      <c r="I345" s="3" t="s">
        <v>74</v>
      </c>
      <c r="J345" s="3">
        <v>0.1</v>
      </c>
      <c r="K345" s="3">
        <v>7.25</v>
      </c>
      <c r="L345" s="3">
        <v>0.33</v>
      </c>
      <c r="O345" s="3">
        <v>100</v>
      </c>
      <c r="P345" s="3">
        <v>13.94633524714761</v>
      </c>
      <c r="R345" s="3">
        <v>10</v>
      </c>
      <c r="Z345">
        <v>1</v>
      </c>
      <c r="AA345" t="s">
        <v>88</v>
      </c>
      <c r="AB345" t="s">
        <v>1318</v>
      </c>
      <c r="AC345" s="3" t="s">
        <v>78</v>
      </c>
      <c r="AD345" s="3">
        <v>8</v>
      </c>
      <c r="AE345">
        <v>1</v>
      </c>
      <c r="AF345" t="s">
        <v>88</v>
      </c>
      <c r="AG345" t="s">
        <v>664</v>
      </c>
      <c r="AH345" s="17" t="s">
        <v>665</v>
      </c>
      <c r="AI345" t="s">
        <v>616</v>
      </c>
      <c r="AJ345" s="18" t="s">
        <v>617</v>
      </c>
      <c r="AO345" s="3">
        <v>5.9937843211512964</v>
      </c>
      <c r="AP345" s="3">
        <v>36</v>
      </c>
      <c r="AQ345" s="3">
        <f t="shared" si="112"/>
        <v>215.77623556144667</v>
      </c>
      <c r="BE345" s="3" t="s">
        <v>79</v>
      </c>
      <c r="BF345" s="3" t="s">
        <v>1320</v>
      </c>
      <c r="BG345" s="3" t="s">
        <v>416</v>
      </c>
      <c r="BH345" s="3" t="str">
        <f t="shared" si="126"/>
        <v>Och-CBur_LCWGS-libraries</v>
      </c>
      <c r="BI345" s="3" t="str">
        <f t="shared" si="127"/>
        <v>F1</v>
      </c>
      <c r="BJ345" s="3" t="str">
        <f t="shared" si="128"/>
        <v>Och-TL2-DilutionPlate</v>
      </c>
      <c r="BK345" s="3" t="str">
        <f t="shared" si="129"/>
        <v>E10</v>
      </c>
      <c r="BL345" s="3">
        <v>1.5</v>
      </c>
      <c r="BM345" s="3">
        <v>2</v>
      </c>
      <c r="BN345" s="3">
        <f t="shared" si="130"/>
        <v>4.4953382408634726</v>
      </c>
      <c r="BO345" s="3">
        <f t="shared" si="131"/>
        <v>2.9953382408634726</v>
      </c>
      <c r="BP345" s="3" t="s">
        <v>1321</v>
      </c>
      <c r="BQ345">
        <v>10</v>
      </c>
      <c r="BR345" s="3" t="s">
        <v>87</v>
      </c>
      <c r="BX345" s="21" t="s">
        <v>1322</v>
      </c>
      <c r="BY345" s="3" t="str">
        <f t="shared" si="121"/>
        <v>Och-TL2-DilutionPlate</v>
      </c>
      <c r="BZ345" s="3" t="str">
        <f t="shared" si="122"/>
        <v>E10</v>
      </c>
      <c r="CA345" s="3" t="str">
        <f t="shared" si="123"/>
        <v>Och-C-2</v>
      </c>
      <c r="CC345" s="3">
        <v>1.5</v>
      </c>
      <c r="CD345" s="10" t="s">
        <v>1376</v>
      </c>
      <c r="CE345" s="21" t="str">
        <f t="shared" si="105"/>
        <v>OcC0107301F</v>
      </c>
      <c r="CF345" s="21" t="str">
        <f t="shared" si="124"/>
        <v>Och-CBur_073_Ex1-1F-lcwgs-1-1</v>
      </c>
      <c r="CG345" s="3">
        <f t="shared" si="125"/>
        <v>0.50051851038639883</v>
      </c>
      <c r="CH345">
        <v>11249122</v>
      </c>
      <c r="CI345">
        <v>8808065</v>
      </c>
      <c r="CJ345" s="27" t="s">
        <v>79</v>
      </c>
      <c r="CK345" s="3">
        <v>12.944705635105262</v>
      </c>
      <c r="CL345" s="3" t="s">
        <v>1611</v>
      </c>
      <c r="CM345" s="33" t="s">
        <v>1751</v>
      </c>
      <c r="CN345" s="3" t="str">
        <f>B345&amp;"-"&amp;Z345&amp;AA345&amp;"-lcwgs-"&amp;C345&amp;"-2"</f>
        <v>Och-CBur_073_Ex1-1F-lcwgs-1-2</v>
      </c>
      <c r="CR345"/>
    </row>
    <row r="346" spans="1:96" x14ac:dyDescent="0.55000000000000004">
      <c r="A346" s="10" t="s">
        <v>1263</v>
      </c>
      <c r="B346" t="str">
        <f t="shared" si="113"/>
        <v>Och-CBur_074_Ex1</v>
      </c>
      <c r="C346" s="3">
        <v>1</v>
      </c>
      <c r="E346" s="3" t="s">
        <v>1317</v>
      </c>
      <c r="F346" s="3">
        <v>2</v>
      </c>
      <c r="G346" s="3" t="s">
        <v>91</v>
      </c>
      <c r="H346">
        <v>4.3280837004405281</v>
      </c>
      <c r="I346" s="3" t="s">
        <v>74</v>
      </c>
      <c r="J346" s="3">
        <v>0.1</v>
      </c>
      <c r="K346" s="3">
        <v>7.25</v>
      </c>
      <c r="L346" s="3">
        <v>0.33</v>
      </c>
      <c r="O346" s="3">
        <v>100</v>
      </c>
      <c r="P346" s="3">
        <v>23.104913611033361</v>
      </c>
      <c r="R346" s="3">
        <v>10</v>
      </c>
      <c r="Z346">
        <v>2</v>
      </c>
      <c r="AA346" t="s">
        <v>83</v>
      </c>
      <c r="AB346" t="s">
        <v>1318</v>
      </c>
      <c r="AC346" s="3" t="s">
        <v>78</v>
      </c>
      <c r="AD346" s="3">
        <v>8</v>
      </c>
      <c r="AE346">
        <v>2</v>
      </c>
      <c r="AF346" t="s">
        <v>83</v>
      </c>
      <c r="AG346" t="s">
        <v>658</v>
      </c>
      <c r="AH346" s="17" t="s">
        <v>659</v>
      </c>
      <c r="AI346" t="s">
        <v>618</v>
      </c>
      <c r="AJ346" s="18" t="s">
        <v>619</v>
      </c>
      <c r="AO346" s="3">
        <v>7.7710708199204692</v>
      </c>
      <c r="AP346" s="3">
        <v>36</v>
      </c>
      <c r="AQ346" s="3">
        <f t="shared" si="112"/>
        <v>279.75854951713688</v>
      </c>
      <c r="BE346" s="3" t="s">
        <v>79</v>
      </c>
      <c r="BF346" s="3" t="s">
        <v>1320</v>
      </c>
      <c r="BG346" s="3" t="s">
        <v>416</v>
      </c>
      <c r="BH346" s="3" t="str">
        <f t="shared" si="126"/>
        <v>Och-CBur_LCWGS-libraries</v>
      </c>
      <c r="BI346" s="3" t="str">
        <f t="shared" si="127"/>
        <v>C2</v>
      </c>
      <c r="BJ346" s="3" t="str">
        <f t="shared" si="128"/>
        <v>Och-TL2-DilutionPlate</v>
      </c>
      <c r="BK346" s="3" t="str">
        <f t="shared" si="129"/>
        <v>D4</v>
      </c>
      <c r="BL346" s="3">
        <v>1.5</v>
      </c>
      <c r="BM346" s="3">
        <v>2</v>
      </c>
      <c r="BN346" s="3">
        <f t="shared" si="130"/>
        <v>5.8283031149403524</v>
      </c>
      <c r="BO346" s="3">
        <f t="shared" si="131"/>
        <v>4.3283031149403524</v>
      </c>
      <c r="BP346" s="3" t="s">
        <v>1321</v>
      </c>
      <c r="BQ346">
        <v>4</v>
      </c>
      <c r="BR346" s="3" t="s">
        <v>84</v>
      </c>
      <c r="BX346" s="21" t="s">
        <v>1322</v>
      </c>
      <c r="BY346" s="3" t="str">
        <f t="shared" si="121"/>
        <v>Och-TL2-DilutionPlate</v>
      </c>
      <c r="BZ346" s="3" t="str">
        <f t="shared" si="122"/>
        <v>D4</v>
      </c>
      <c r="CA346" s="3" t="str">
        <f t="shared" si="123"/>
        <v>Och-C-2</v>
      </c>
      <c r="CC346" s="3">
        <v>1.5</v>
      </c>
      <c r="CD346" s="10" t="s">
        <v>1381</v>
      </c>
      <c r="CE346" s="21" t="str">
        <f t="shared" si="105"/>
        <v>OcC0107402C</v>
      </c>
      <c r="CF346" s="21" t="str">
        <f t="shared" si="124"/>
        <v>Och-CBur_074_Ex1-2C-lcwgs-1-1</v>
      </c>
      <c r="CG346" s="3">
        <f t="shared" si="125"/>
        <v>0.38604718313848829</v>
      </c>
      <c r="CH346">
        <v>12081481</v>
      </c>
      <c r="CI346">
        <v>9954339</v>
      </c>
      <c r="CJ346" s="27" t="s">
        <v>79</v>
      </c>
      <c r="CK346" s="3">
        <v>8.5208310812354942</v>
      </c>
      <c r="CL346" s="3" t="s">
        <v>1611</v>
      </c>
      <c r="CM346" s="33" t="s">
        <v>1752</v>
      </c>
      <c r="CN346" s="3" t="str">
        <f>B346&amp;"-"&amp;Z346&amp;AA346&amp;"-lcwgs-"&amp;C346&amp;"-2"</f>
        <v>Och-CBur_074_Ex1-2C-lcwgs-1-2</v>
      </c>
      <c r="CR346"/>
    </row>
    <row r="347" spans="1:96" x14ac:dyDescent="0.55000000000000004">
      <c r="A347" s="10" t="s">
        <v>1274</v>
      </c>
      <c r="B347" t="str">
        <f t="shared" si="113"/>
        <v>Och-CBur_076_Ex1</v>
      </c>
      <c r="C347" s="3">
        <v>1</v>
      </c>
      <c r="E347" s="3" t="s">
        <v>1317</v>
      </c>
      <c r="F347" s="3">
        <v>4</v>
      </c>
      <c r="G347" s="3" t="s">
        <v>91</v>
      </c>
      <c r="H347">
        <v>4.8319454312917429</v>
      </c>
      <c r="I347" s="3" t="s">
        <v>74</v>
      </c>
      <c r="J347" s="3">
        <v>0.1</v>
      </c>
      <c r="K347" s="3">
        <v>7.25</v>
      </c>
      <c r="L347" s="3">
        <v>0.33</v>
      </c>
      <c r="O347" s="3">
        <v>100</v>
      </c>
      <c r="P347" s="3">
        <v>20.695597957791218</v>
      </c>
      <c r="R347" s="3">
        <v>10</v>
      </c>
      <c r="Z347">
        <v>3</v>
      </c>
      <c r="AA347" t="s">
        <v>88</v>
      </c>
      <c r="AB347" t="s">
        <v>1318</v>
      </c>
      <c r="AC347" s="3" t="s">
        <v>78</v>
      </c>
      <c r="AD347" s="3">
        <v>8</v>
      </c>
      <c r="AE347">
        <v>3</v>
      </c>
      <c r="AF347" t="s">
        <v>88</v>
      </c>
      <c r="AG347" t="s">
        <v>664</v>
      </c>
      <c r="AH347" s="17" t="s">
        <v>665</v>
      </c>
      <c r="AI347" t="s">
        <v>620</v>
      </c>
      <c r="AJ347" s="18" t="s">
        <v>621</v>
      </c>
      <c r="AO347" s="3">
        <v>5.95919333459572</v>
      </c>
      <c r="AP347" s="3">
        <v>36</v>
      </c>
      <c r="AQ347" s="3">
        <f t="shared" si="112"/>
        <v>214.53096004544591</v>
      </c>
      <c r="BE347" s="3" t="s">
        <v>79</v>
      </c>
      <c r="BF347" s="3" t="s">
        <v>1320</v>
      </c>
      <c r="BG347" s="3" t="s">
        <v>416</v>
      </c>
      <c r="BH347" s="3" t="str">
        <f t="shared" si="126"/>
        <v>Och-CBur_LCWGS-libraries</v>
      </c>
      <c r="BI347" s="3" t="str">
        <f t="shared" si="127"/>
        <v>F3</v>
      </c>
      <c r="BJ347" s="3" t="str">
        <f t="shared" si="128"/>
        <v>Och-TL2-DilutionPlate</v>
      </c>
      <c r="BK347" s="3" t="str">
        <f t="shared" si="129"/>
        <v>E12</v>
      </c>
      <c r="BL347" s="3">
        <v>1.5</v>
      </c>
      <c r="BM347" s="3">
        <v>2</v>
      </c>
      <c r="BN347" s="3">
        <f t="shared" si="130"/>
        <v>4.4693950009467898</v>
      </c>
      <c r="BO347" s="3">
        <f t="shared" si="131"/>
        <v>2.9693950009467898</v>
      </c>
      <c r="BP347" s="3" t="s">
        <v>1321</v>
      </c>
      <c r="BQ347">
        <v>12</v>
      </c>
      <c r="BR347" s="3" t="s">
        <v>87</v>
      </c>
      <c r="BX347" s="21" t="s">
        <v>1322</v>
      </c>
      <c r="BY347" s="3" t="str">
        <f t="shared" si="121"/>
        <v>Och-TL2-DilutionPlate</v>
      </c>
      <c r="BZ347" s="3" t="str">
        <f t="shared" si="122"/>
        <v>E12</v>
      </c>
      <c r="CA347" s="3" t="str">
        <f t="shared" si="123"/>
        <v>Och-C-2</v>
      </c>
      <c r="CC347" s="3">
        <v>1.5</v>
      </c>
      <c r="CD347" s="10" t="s">
        <v>1392</v>
      </c>
      <c r="CE347" s="21" t="str">
        <f t="shared" si="105"/>
        <v>OcC0107603F</v>
      </c>
      <c r="CF347" s="21" t="str">
        <f t="shared" si="124"/>
        <v>Och-CBur_076_Ex1-3F-lcwgs-1-1</v>
      </c>
      <c r="CG347" s="3">
        <f t="shared" si="125"/>
        <v>0.50342384137525631</v>
      </c>
      <c r="CH347">
        <v>12180570</v>
      </c>
      <c r="CI347">
        <v>9984428</v>
      </c>
      <c r="CJ347" s="27" t="s">
        <v>79</v>
      </c>
      <c r="CK347" s="3">
        <v>11.067378573192521</v>
      </c>
      <c r="CL347" s="3" t="s">
        <v>1611</v>
      </c>
      <c r="CM347" s="33" t="s">
        <v>1753</v>
      </c>
      <c r="CN347" s="3" t="str">
        <f>B347&amp;"-"&amp;Z347&amp;AA347&amp;"-lcwgs-"&amp;C347&amp;"-2"</f>
        <v>Och-CBur_076_Ex1-3F-lcwgs-1-2</v>
      </c>
      <c r="CR347"/>
    </row>
    <row r="348" spans="1:96" x14ac:dyDescent="0.55000000000000004">
      <c r="A348" s="10" t="s">
        <v>1281</v>
      </c>
      <c r="B348" t="str">
        <f t="shared" si="113"/>
        <v>Och-CBur_077_Ex1</v>
      </c>
      <c r="C348" s="3">
        <v>1</v>
      </c>
      <c r="E348" s="3" t="s">
        <v>1317</v>
      </c>
      <c r="F348" s="3">
        <v>5</v>
      </c>
      <c r="G348" s="3" t="s">
        <v>91</v>
      </c>
      <c r="H348">
        <v>6.67212590592582</v>
      </c>
      <c r="I348" s="3" t="s">
        <v>74</v>
      </c>
      <c r="J348" s="3">
        <v>0.1</v>
      </c>
      <c r="K348" s="3">
        <v>7.25</v>
      </c>
      <c r="L348" s="3">
        <v>0.33</v>
      </c>
      <c r="O348" s="3">
        <v>100</v>
      </c>
      <c r="P348" s="3">
        <v>14.987726762048274</v>
      </c>
      <c r="R348" s="3">
        <v>10</v>
      </c>
      <c r="Z348">
        <v>4</v>
      </c>
      <c r="AA348" t="s">
        <v>87</v>
      </c>
      <c r="AB348" t="s">
        <v>1318</v>
      </c>
      <c r="AC348" s="3" t="s">
        <v>78</v>
      </c>
      <c r="AD348" s="3">
        <v>8</v>
      </c>
      <c r="AE348">
        <v>4</v>
      </c>
      <c r="AF348" t="s">
        <v>87</v>
      </c>
      <c r="AG348" t="s">
        <v>662</v>
      </c>
      <c r="AH348" s="17" t="s">
        <v>663</v>
      </c>
      <c r="AI348" t="s">
        <v>622</v>
      </c>
      <c r="AJ348" s="18" t="s">
        <v>623</v>
      </c>
      <c r="AO348" s="3">
        <v>4.9617070630562399</v>
      </c>
      <c r="AP348" s="3">
        <v>36</v>
      </c>
      <c r="AQ348" s="3">
        <f t="shared" si="112"/>
        <v>178.62145427002463</v>
      </c>
      <c r="BE348" s="3" t="s">
        <v>79</v>
      </c>
      <c r="BF348" s="3" t="s">
        <v>1320</v>
      </c>
      <c r="BG348" s="3" t="s">
        <v>416</v>
      </c>
      <c r="BH348" s="3" t="str">
        <f t="shared" si="126"/>
        <v>Och-CBur_LCWGS-libraries</v>
      </c>
      <c r="BI348" s="3" t="str">
        <f t="shared" si="127"/>
        <v>E4</v>
      </c>
      <c r="BJ348" s="3" t="str">
        <f t="shared" si="128"/>
        <v>Och-TL2-DilutionPlate</v>
      </c>
      <c r="BK348" s="3" t="str">
        <f t="shared" si="129"/>
        <v>E7</v>
      </c>
      <c r="BL348" s="3">
        <v>1.5</v>
      </c>
      <c r="BM348" s="3">
        <v>2</v>
      </c>
      <c r="BN348" s="3">
        <f t="shared" si="130"/>
        <v>3.7212802972921799</v>
      </c>
      <c r="BO348" s="3">
        <f t="shared" si="131"/>
        <v>2.2212802972921799</v>
      </c>
      <c r="BP348" s="3" t="s">
        <v>1321</v>
      </c>
      <c r="BQ348">
        <v>7</v>
      </c>
      <c r="BR348" s="3" t="s">
        <v>87</v>
      </c>
      <c r="BX348" s="21" t="s">
        <v>1322</v>
      </c>
      <c r="BY348" s="3" t="str">
        <f t="shared" si="121"/>
        <v>Och-TL2-DilutionPlate</v>
      </c>
      <c r="BZ348" s="3" t="str">
        <f t="shared" si="122"/>
        <v>E7</v>
      </c>
      <c r="CA348" s="3" t="str">
        <f t="shared" si="123"/>
        <v>Och-C-2</v>
      </c>
      <c r="CC348" s="3">
        <v>1.5</v>
      </c>
      <c r="CD348" s="10" t="s">
        <v>1399</v>
      </c>
      <c r="CE348" s="21" t="str">
        <f t="shared" si="105"/>
        <v>OcC0107704E</v>
      </c>
      <c r="CF348" s="21" t="str">
        <f t="shared" si="124"/>
        <v>Och-CBur_077_Ex1-4E-lcwgs-1-1</v>
      </c>
      <c r="CG348" s="3">
        <f t="shared" si="125"/>
        <v>0.60463061641371951</v>
      </c>
      <c r="CH348">
        <v>8616297</v>
      </c>
      <c r="CI348">
        <v>7042740</v>
      </c>
      <c r="CJ348" s="27" t="s">
        <v>185</v>
      </c>
      <c r="CK348" s="3">
        <v>0</v>
      </c>
      <c r="CM348" s="33"/>
      <c r="CR348"/>
    </row>
    <row r="349" spans="1:96" x14ac:dyDescent="0.55000000000000004">
      <c r="A349" s="10" t="s">
        <v>1288</v>
      </c>
      <c r="B349" t="str">
        <f t="shared" si="113"/>
        <v>Och-CBur_078_Ex1</v>
      </c>
      <c r="C349" s="3">
        <v>1</v>
      </c>
      <c r="E349" s="3" t="s">
        <v>1317</v>
      </c>
      <c r="F349" s="3">
        <v>6</v>
      </c>
      <c r="G349" s="3" t="s">
        <v>91</v>
      </c>
      <c r="H349">
        <v>9.6992077589882051</v>
      </c>
      <c r="I349" s="3" t="s">
        <v>74</v>
      </c>
      <c r="J349" s="3">
        <v>0.1</v>
      </c>
      <c r="K349" s="3">
        <v>7.25</v>
      </c>
      <c r="L349" s="3">
        <v>0.33</v>
      </c>
      <c r="O349" s="3">
        <v>100</v>
      </c>
      <c r="P349" s="3">
        <v>10.310120422704681</v>
      </c>
      <c r="R349" s="3">
        <v>10</v>
      </c>
      <c r="Z349">
        <v>5</v>
      </c>
      <c r="AA349" t="s">
        <v>84</v>
      </c>
      <c r="AB349" t="s">
        <v>1318</v>
      </c>
      <c r="AC349" s="3" t="s">
        <v>78</v>
      </c>
      <c r="AD349" s="3">
        <v>8</v>
      </c>
      <c r="AE349">
        <v>5</v>
      </c>
      <c r="AF349" t="s">
        <v>84</v>
      </c>
      <c r="AG349" t="s">
        <v>660</v>
      </c>
      <c r="AH349" s="17" t="s">
        <v>661</v>
      </c>
      <c r="AI349" t="s">
        <v>624</v>
      </c>
      <c r="AJ349" s="18" t="s">
        <v>625</v>
      </c>
      <c r="AO349" s="3">
        <v>0.53599223631887893</v>
      </c>
      <c r="AP349" s="3">
        <v>36</v>
      </c>
      <c r="AQ349" s="3">
        <f t="shared" si="112"/>
        <v>19.295720507479643</v>
      </c>
      <c r="BE349" s="3" t="s">
        <v>79</v>
      </c>
      <c r="BF349" s="3" t="s">
        <v>1320</v>
      </c>
      <c r="BG349" s="3" t="s">
        <v>186</v>
      </c>
      <c r="BH349" s="3" t="s">
        <v>186</v>
      </c>
      <c r="BI349" s="3" t="s">
        <v>186</v>
      </c>
      <c r="BJ349" s="3" t="s">
        <v>186</v>
      </c>
      <c r="BK349" s="3" t="s">
        <v>186</v>
      </c>
      <c r="BL349" s="3" t="s">
        <v>186</v>
      </c>
      <c r="BM349" s="3" t="s">
        <v>186</v>
      </c>
      <c r="BN349" s="3" t="s">
        <v>186</v>
      </c>
      <c r="BO349" s="3" t="s">
        <v>186</v>
      </c>
      <c r="BP349" s="3" t="s">
        <v>186</v>
      </c>
      <c r="BQ349" s="3" t="s">
        <v>186</v>
      </c>
      <c r="BR349" s="3" t="s">
        <v>186</v>
      </c>
      <c r="BS349" s="3" t="s">
        <v>186</v>
      </c>
      <c r="BT349" s="3" t="s">
        <v>186</v>
      </c>
      <c r="BU349" s="3" t="s">
        <v>186</v>
      </c>
      <c r="BV349" s="3" t="s">
        <v>186</v>
      </c>
      <c r="BW349" s="3" t="s">
        <v>186</v>
      </c>
      <c r="BX349" s="21" t="s">
        <v>1322</v>
      </c>
      <c r="BY349" s="3" t="str">
        <f t="shared" si="121"/>
        <v>Och-CBur_LCWGS-libraries</v>
      </c>
      <c r="BZ349" s="3" t="str">
        <f t="shared" si="122"/>
        <v>D5</v>
      </c>
      <c r="CA349" s="3" t="str">
        <f t="shared" si="123"/>
        <v>Och-C-2</v>
      </c>
      <c r="CC349" s="3">
        <v>1.5</v>
      </c>
      <c r="CD349" s="10" t="s">
        <v>1406</v>
      </c>
      <c r="CE349" s="21" t="str">
        <f t="shared" si="105"/>
        <v>OcC0107805D</v>
      </c>
      <c r="CF349" s="21" t="str">
        <f t="shared" si="124"/>
        <v>Och-CBur_078_Ex1-5D-lcwgs-1-1</v>
      </c>
      <c r="CG349" s="3">
        <f t="shared" si="125"/>
        <v>1.5</v>
      </c>
      <c r="CH349">
        <v>2880407</v>
      </c>
      <c r="CI349">
        <v>2374242</v>
      </c>
      <c r="CJ349" s="27" t="s">
        <v>185</v>
      </c>
      <c r="CK349" s="3">
        <v>0</v>
      </c>
      <c r="CM349" s="33"/>
      <c r="CR349"/>
    </row>
    <row r="350" spans="1:96" x14ac:dyDescent="0.55000000000000004">
      <c r="A350" s="10" t="s">
        <v>1293</v>
      </c>
      <c r="B350" t="str">
        <f t="shared" si="113"/>
        <v>Och-CBur_079_Ex1</v>
      </c>
      <c r="C350" s="3">
        <v>1</v>
      </c>
      <c r="E350" s="3" t="s">
        <v>1317</v>
      </c>
      <c r="F350" s="3">
        <v>7</v>
      </c>
      <c r="G350" s="3" t="s">
        <v>91</v>
      </c>
      <c r="H350">
        <v>6.5443939178627248</v>
      </c>
      <c r="I350" s="3" t="s">
        <v>74</v>
      </c>
      <c r="J350" s="3">
        <v>0.1</v>
      </c>
      <c r="K350" s="3">
        <v>7.25</v>
      </c>
      <c r="L350" s="3">
        <v>0.33</v>
      </c>
      <c r="O350" s="3">
        <v>100</v>
      </c>
      <c r="P350" s="3">
        <v>15.280253795092168</v>
      </c>
      <c r="R350" s="3">
        <v>10</v>
      </c>
      <c r="Z350">
        <v>6</v>
      </c>
      <c r="AA350" t="s">
        <v>73</v>
      </c>
      <c r="AB350" t="s">
        <v>1318</v>
      </c>
      <c r="AC350" s="3" t="s">
        <v>78</v>
      </c>
      <c r="AD350" s="3">
        <v>8</v>
      </c>
      <c r="AE350">
        <v>6</v>
      </c>
      <c r="AF350" t="s">
        <v>73</v>
      </c>
      <c r="AG350" t="s">
        <v>652</v>
      </c>
      <c r="AH350" s="17" t="s">
        <v>653</v>
      </c>
      <c r="AI350" t="s">
        <v>626</v>
      </c>
      <c r="AJ350" s="18" t="s">
        <v>627</v>
      </c>
      <c r="AO350" s="3">
        <v>7.7957773149024803</v>
      </c>
      <c r="AP350" s="3">
        <v>36</v>
      </c>
      <c r="AQ350" s="3">
        <f t="shared" si="112"/>
        <v>280.64798333648929</v>
      </c>
      <c r="BE350" s="3" t="s">
        <v>79</v>
      </c>
      <c r="BF350" s="3" t="s">
        <v>1320</v>
      </c>
      <c r="BG350" s="3" t="s">
        <v>416</v>
      </c>
      <c r="BH350" s="3" t="str">
        <f t="shared" ref="BH350:BH358" si="132">AB350</f>
        <v>Och-CBur_LCWGS-libraries</v>
      </c>
      <c r="BI350" s="3" t="str">
        <f t="shared" ref="BI350:BI358" si="133">AA350&amp;Z350</f>
        <v>A6</v>
      </c>
      <c r="BJ350" s="3" t="str">
        <f t="shared" ref="BJ350:BJ358" si="134">BP350</f>
        <v>Och-TL2-DilutionPlate</v>
      </c>
      <c r="BK350" s="3" t="str">
        <f t="shared" ref="BK350:BK358" si="135">BR350&amp;BQ350</f>
        <v>C5</v>
      </c>
      <c r="BL350" s="3">
        <v>1.5</v>
      </c>
      <c r="BM350" s="3">
        <v>2</v>
      </c>
      <c r="BN350" s="3">
        <f t="shared" ref="BN350:BN358" si="136">AO350*BL350/BM350</f>
        <v>5.8468329861768602</v>
      </c>
      <c r="BO350" s="3">
        <f t="shared" ref="BO350:BO358" si="137">BN350-BL350</f>
        <v>4.3468329861768602</v>
      </c>
      <c r="BP350" s="3" t="s">
        <v>1321</v>
      </c>
      <c r="BQ350">
        <v>5</v>
      </c>
      <c r="BR350" s="3" t="s">
        <v>83</v>
      </c>
      <c r="BX350" s="21" t="s">
        <v>1322</v>
      </c>
      <c r="BY350" s="3" t="str">
        <f t="shared" si="121"/>
        <v>Och-TL2-DilutionPlate</v>
      </c>
      <c r="BZ350" s="3" t="str">
        <f t="shared" si="122"/>
        <v>C5</v>
      </c>
      <c r="CA350" s="3" t="str">
        <f t="shared" si="123"/>
        <v>Och-C-2</v>
      </c>
      <c r="CC350" s="3">
        <v>1.5</v>
      </c>
      <c r="CD350" s="10" t="s">
        <v>1411</v>
      </c>
      <c r="CE350" s="21" t="str">
        <f t="shared" si="105"/>
        <v>OcC0107906A</v>
      </c>
      <c r="CF350" s="21" t="str">
        <f t="shared" si="124"/>
        <v>Och-CBur_079_Ex1-6A-lcwgs-1-1</v>
      </c>
      <c r="CG350" s="3">
        <f t="shared" si="125"/>
        <v>0.38482371658630782</v>
      </c>
      <c r="CH350">
        <v>10569087</v>
      </c>
      <c r="CI350">
        <v>8778605</v>
      </c>
      <c r="CJ350" s="27" t="s">
        <v>79</v>
      </c>
      <c r="CK350" s="3">
        <v>9.9950494151021037</v>
      </c>
      <c r="CL350" s="3" t="s">
        <v>1611</v>
      </c>
      <c r="CM350" s="33" t="s">
        <v>1754</v>
      </c>
      <c r="CN350" s="3" t="str">
        <f>B350&amp;"-"&amp;Z350&amp;AA350&amp;"-lcwgs-"&amp;C350&amp;"-2"</f>
        <v>Och-CBur_079_Ex1-6A-lcwgs-1-2</v>
      </c>
      <c r="CR350"/>
    </row>
    <row r="351" spans="1:96" x14ac:dyDescent="0.55000000000000004">
      <c r="A351" s="10" t="s">
        <v>1297</v>
      </c>
      <c r="B351" t="str">
        <f t="shared" si="113"/>
        <v>Och-CBur_080_Ex1</v>
      </c>
      <c r="C351" s="3">
        <v>1</v>
      </c>
      <c r="E351" s="3" t="s">
        <v>1317</v>
      </c>
      <c r="F351" s="3">
        <v>8</v>
      </c>
      <c r="G351" s="3" t="s">
        <v>91</v>
      </c>
      <c r="H351">
        <v>10.417013642177064</v>
      </c>
      <c r="I351" s="3" t="s">
        <v>74</v>
      </c>
      <c r="J351" s="3">
        <v>0.1</v>
      </c>
      <c r="K351" s="3">
        <v>7.25</v>
      </c>
      <c r="L351" s="3">
        <v>0.33</v>
      </c>
      <c r="O351" s="3">
        <v>100</v>
      </c>
      <c r="P351" s="3">
        <v>9.5996802380207775</v>
      </c>
      <c r="R351" s="3">
        <v>10</v>
      </c>
      <c r="Z351">
        <v>6</v>
      </c>
      <c r="AA351" t="s">
        <v>87</v>
      </c>
      <c r="AB351" t="s">
        <v>1318</v>
      </c>
      <c r="AC351" s="3" t="s">
        <v>78</v>
      </c>
      <c r="AD351" s="3">
        <v>8</v>
      </c>
      <c r="AE351">
        <v>6</v>
      </c>
      <c r="AF351" t="s">
        <v>87</v>
      </c>
      <c r="AG351" t="s">
        <v>662</v>
      </c>
      <c r="AH351" s="17" t="s">
        <v>663</v>
      </c>
      <c r="AI351" t="s">
        <v>626</v>
      </c>
      <c r="AJ351" s="18" t="s">
        <v>627</v>
      </c>
      <c r="AO351" s="3">
        <v>11.942387805339898</v>
      </c>
      <c r="AP351" s="3">
        <v>36</v>
      </c>
      <c r="AQ351" s="3">
        <f t="shared" si="112"/>
        <v>429.92596099223636</v>
      </c>
      <c r="BE351" s="3" t="s">
        <v>79</v>
      </c>
      <c r="BF351" s="3" t="s">
        <v>1320</v>
      </c>
      <c r="BG351" s="3" t="s">
        <v>416</v>
      </c>
      <c r="BH351" s="3" t="str">
        <f t="shared" si="132"/>
        <v>Och-CBur_LCWGS-libraries</v>
      </c>
      <c r="BI351" s="3" t="str">
        <f t="shared" si="133"/>
        <v>E6</v>
      </c>
      <c r="BJ351" s="3" t="str">
        <f t="shared" si="134"/>
        <v>Och-TL2-DilutionPlate</v>
      </c>
      <c r="BK351" s="3" t="str">
        <f t="shared" si="135"/>
        <v>E8</v>
      </c>
      <c r="BL351" s="3">
        <v>1.5</v>
      </c>
      <c r="BM351" s="3">
        <v>2</v>
      </c>
      <c r="BN351" s="3">
        <f t="shared" si="136"/>
        <v>8.9567908540049235</v>
      </c>
      <c r="BO351" s="3">
        <f t="shared" si="137"/>
        <v>7.4567908540049235</v>
      </c>
      <c r="BP351" s="3" t="s">
        <v>1321</v>
      </c>
      <c r="BQ351">
        <v>8</v>
      </c>
      <c r="BR351" s="3" t="s">
        <v>87</v>
      </c>
      <c r="BX351" s="21" t="s">
        <v>1322</v>
      </c>
      <c r="BY351" s="3" t="str">
        <f t="shared" si="121"/>
        <v>Och-TL2-DilutionPlate</v>
      </c>
      <c r="BZ351" s="3" t="str">
        <f t="shared" si="122"/>
        <v>E8</v>
      </c>
      <c r="CA351" s="3" t="str">
        <f t="shared" si="123"/>
        <v>Och-C-2</v>
      </c>
      <c r="CC351" s="3">
        <v>1.5</v>
      </c>
      <c r="CD351" s="10" t="s">
        <v>1415</v>
      </c>
      <c r="CE351" s="21" t="str">
        <f t="shared" si="105"/>
        <v>OcC0108006E</v>
      </c>
      <c r="CF351" s="21" t="str">
        <f t="shared" si="124"/>
        <v>Och-CBur_080_Ex1-6E-lcwgs-1-1</v>
      </c>
      <c r="CG351" s="3">
        <f t="shared" si="125"/>
        <v>0.25120604429363658</v>
      </c>
      <c r="CH351">
        <v>8414736</v>
      </c>
      <c r="CI351">
        <v>6986375</v>
      </c>
      <c r="CJ351" s="27" t="s">
        <v>79</v>
      </c>
      <c r="CK351" s="3">
        <v>8.653015695348774</v>
      </c>
      <c r="CL351" s="3" t="s">
        <v>1611</v>
      </c>
      <c r="CM351" s="33" t="s">
        <v>1755</v>
      </c>
      <c r="CN351" s="3" t="str">
        <f>B351&amp;"-"&amp;Z351&amp;AA351&amp;"-lcwgs-"&amp;C351&amp;"-2"</f>
        <v>Och-CBur_080_Ex1-6E-lcwgs-1-2</v>
      </c>
      <c r="CR351"/>
    </row>
    <row r="352" spans="1:96" x14ac:dyDescent="0.55000000000000004">
      <c r="A352" s="10" t="s">
        <v>1306</v>
      </c>
      <c r="B352" t="str">
        <f t="shared" si="113"/>
        <v>Och-CBur_082_Ex1</v>
      </c>
      <c r="C352" s="3">
        <v>1</v>
      </c>
      <c r="E352" s="3" t="s">
        <v>1317</v>
      </c>
      <c r="F352" s="3">
        <v>10</v>
      </c>
      <c r="G352" s="3" t="s">
        <v>91</v>
      </c>
      <c r="H352">
        <v>10.16773127753304</v>
      </c>
      <c r="I352" s="3" t="s">
        <v>74</v>
      </c>
      <c r="J352" s="3">
        <v>0.1</v>
      </c>
      <c r="K352" s="3">
        <v>7.25</v>
      </c>
      <c r="L352" s="3">
        <v>0.33</v>
      </c>
      <c r="O352" s="3">
        <v>100</v>
      </c>
      <c r="P352" s="3">
        <v>9.835035689914756</v>
      </c>
      <c r="R352" s="3">
        <v>10</v>
      </c>
      <c r="Z352">
        <v>7</v>
      </c>
      <c r="AA352" t="s">
        <v>88</v>
      </c>
      <c r="AB352" t="s">
        <v>1318</v>
      </c>
      <c r="AC352" s="3" t="s">
        <v>78</v>
      </c>
      <c r="AD352" s="3">
        <v>8</v>
      </c>
      <c r="AE352">
        <v>7</v>
      </c>
      <c r="AF352" t="s">
        <v>88</v>
      </c>
      <c r="AG352" t="s">
        <v>664</v>
      </c>
      <c r="AH352" s="17" t="s">
        <v>665</v>
      </c>
      <c r="AI352" t="s">
        <v>628</v>
      </c>
      <c r="AJ352" s="18" t="s">
        <v>629</v>
      </c>
      <c r="AO352" s="3">
        <v>3.445479075932588</v>
      </c>
      <c r="AP352" s="3">
        <v>36</v>
      </c>
      <c r="AQ352" s="3">
        <f t="shared" si="112"/>
        <v>124.03724673357317</v>
      </c>
      <c r="BE352" s="3" t="s">
        <v>79</v>
      </c>
      <c r="BF352" s="3" t="s">
        <v>1320</v>
      </c>
      <c r="BG352" s="3" t="s">
        <v>416</v>
      </c>
      <c r="BH352" s="3" t="str">
        <f t="shared" si="132"/>
        <v>Och-CBur_LCWGS-libraries</v>
      </c>
      <c r="BI352" s="3" t="str">
        <f t="shared" si="133"/>
        <v>F7</v>
      </c>
      <c r="BJ352" s="3" t="str">
        <f t="shared" si="134"/>
        <v>Och-TL2-DilutionPlate</v>
      </c>
      <c r="BK352" s="3" t="str">
        <f t="shared" si="135"/>
        <v>F3</v>
      </c>
      <c r="BL352" s="3">
        <v>1.5</v>
      </c>
      <c r="BM352" s="3">
        <v>2</v>
      </c>
      <c r="BN352" s="3">
        <f t="shared" si="136"/>
        <v>2.5841093069494407</v>
      </c>
      <c r="BO352" s="3">
        <f t="shared" si="137"/>
        <v>1.0841093069494407</v>
      </c>
      <c r="BP352" s="3" t="s">
        <v>1321</v>
      </c>
      <c r="BQ352">
        <v>3</v>
      </c>
      <c r="BR352" s="3" t="s">
        <v>88</v>
      </c>
      <c r="BX352" s="21" t="s">
        <v>1322</v>
      </c>
      <c r="BY352" s="3" t="str">
        <f t="shared" si="121"/>
        <v>Och-TL2-DilutionPlate</v>
      </c>
      <c r="BZ352" s="3" t="str">
        <f t="shared" si="122"/>
        <v>F3</v>
      </c>
      <c r="CA352" s="3" t="str">
        <f t="shared" si="123"/>
        <v>Och-C-2</v>
      </c>
      <c r="CC352" s="3">
        <v>1.5</v>
      </c>
      <c r="CD352" s="10" t="s">
        <v>1424</v>
      </c>
      <c r="CE352" s="21" t="str">
        <f t="shared" si="105"/>
        <v>OcC0108207F</v>
      </c>
      <c r="CF352" s="21" t="str">
        <f t="shared" si="124"/>
        <v>Och-CBur_082_Ex1-7F-lcwgs-1-1</v>
      </c>
      <c r="CG352" s="3">
        <f t="shared" si="125"/>
        <v>0.8707062019199725</v>
      </c>
      <c r="CH352">
        <v>12624790</v>
      </c>
      <c r="CI352">
        <v>10503764</v>
      </c>
      <c r="CJ352" s="27" t="s">
        <v>79</v>
      </c>
      <c r="CK352" s="3">
        <v>17.891637808948861</v>
      </c>
      <c r="CL352" s="3" t="s">
        <v>1611</v>
      </c>
      <c r="CM352" s="33" t="s">
        <v>1756</v>
      </c>
      <c r="CN352" s="3" t="str">
        <f>B352&amp;"-"&amp;Z352&amp;AA352&amp;"-lcwgs-"&amp;C352&amp;"-2"</f>
        <v>Och-CBur_082_Ex1-7F-lcwgs-1-2</v>
      </c>
      <c r="CR352"/>
    </row>
    <row r="353" spans="1:96" x14ac:dyDescent="0.55000000000000004">
      <c r="A353" s="10" t="s">
        <v>1312</v>
      </c>
      <c r="B353" t="str">
        <f t="shared" si="113"/>
        <v>Och-CBur_083_Ex1</v>
      </c>
      <c r="C353" s="3">
        <v>1</v>
      </c>
      <c r="E353" s="3" t="s">
        <v>1317</v>
      </c>
      <c r="F353" s="3">
        <v>11</v>
      </c>
      <c r="G353" s="3" t="s">
        <v>91</v>
      </c>
      <c r="H353">
        <v>5.7828549097626825</v>
      </c>
      <c r="I353" s="3" t="s">
        <v>74</v>
      </c>
      <c r="J353" s="3">
        <v>0.1</v>
      </c>
      <c r="K353" s="3">
        <v>7.25</v>
      </c>
      <c r="L353" s="3">
        <v>0.33</v>
      </c>
      <c r="O353" s="3">
        <v>100</v>
      </c>
      <c r="P353" s="3">
        <v>17.292496796206809</v>
      </c>
      <c r="R353" s="3">
        <v>10</v>
      </c>
      <c r="Z353">
        <v>8</v>
      </c>
      <c r="AA353" t="s">
        <v>84</v>
      </c>
      <c r="AB353" t="s">
        <v>1318</v>
      </c>
      <c r="AC353" s="3" t="s">
        <v>78</v>
      </c>
      <c r="AD353" s="3">
        <v>8</v>
      </c>
      <c r="AE353">
        <v>8</v>
      </c>
      <c r="AF353" t="s">
        <v>84</v>
      </c>
      <c r="AG353" t="s">
        <v>660</v>
      </c>
      <c r="AH353" s="17" t="s">
        <v>661</v>
      </c>
      <c r="AI353" t="s">
        <v>630</v>
      </c>
      <c r="AJ353" s="18" t="s">
        <v>631</v>
      </c>
      <c r="AO353" s="3">
        <v>4.8594110963832602</v>
      </c>
      <c r="AP353" s="3">
        <v>36</v>
      </c>
      <c r="AQ353" s="3">
        <f t="shared" si="112"/>
        <v>174.93879946979737</v>
      </c>
      <c r="BE353" s="3" t="s">
        <v>79</v>
      </c>
      <c r="BF353" s="3" t="s">
        <v>1320</v>
      </c>
      <c r="BG353" s="3" t="s">
        <v>416</v>
      </c>
      <c r="BH353" s="3" t="str">
        <f t="shared" si="132"/>
        <v>Och-CBur_LCWGS-libraries</v>
      </c>
      <c r="BI353" s="3" t="str">
        <f t="shared" si="133"/>
        <v>D8</v>
      </c>
      <c r="BJ353" s="3" t="str">
        <f t="shared" si="134"/>
        <v>Och-TL2-DilutionPlate</v>
      </c>
      <c r="BK353" s="3" t="str">
        <f t="shared" si="135"/>
        <v>E3</v>
      </c>
      <c r="BL353" s="3">
        <v>1.5</v>
      </c>
      <c r="BM353" s="3">
        <v>2</v>
      </c>
      <c r="BN353" s="3">
        <f t="shared" si="136"/>
        <v>3.6445583222874451</v>
      </c>
      <c r="BO353" s="3">
        <f t="shared" si="137"/>
        <v>2.1445583222874451</v>
      </c>
      <c r="BP353" s="3" t="s">
        <v>1321</v>
      </c>
      <c r="BQ353">
        <v>3</v>
      </c>
      <c r="BR353" s="3" t="s">
        <v>87</v>
      </c>
      <c r="BX353" s="21" t="s">
        <v>1322</v>
      </c>
      <c r="BY353" s="3" t="str">
        <f t="shared" si="121"/>
        <v>Och-TL2-DilutionPlate</v>
      </c>
      <c r="BZ353" s="3" t="str">
        <f t="shared" si="122"/>
        <v>E3</v>
      </c>
      <c r="CA353" s="3" t="str">
        <f t="shared" si="123"/>
        <v>Och-C-2</v>
      </c>
      <c r="CC353" s="3">
        <v>1.5</v>
      </c>
      <c r="CD353" s="10" t="s">
        <v>1430</v>
      </c>
      <c r="CE353" s="21" t="str">
        <f t="shared" si="105"/>
        <v>OcC0108308D</v>
      </c>
      <c r="CF353" s="21" t="str">
        <f t="shared" si="124"/>
        <v>Och-CBur_083_Ex1-8D-lcwgs-1-1</v>
      </c>
      <c r="CG353" s="3">
        <f t="shared" si="125"/>
        <v>0.61735875819043706</v>
      </c>
      <c r="CH353">
        <v>9047851</v>
      </c>
      <c r="CI353">
        <v>7537542</v>
      </c>
      <c r="CJ353" s="27" t="s">
        <v>185</v>
      </c>
      <c r="CK353" s="3">
        <v>0</v>
      </c>
      <c r="CM353" s="33"/>
      <c r="CR353"/>
    </row>
    <row r="354" spans="1:96" x14ac:dyDescent="0.55000000000000004">
      <c r="A354" s="10" t="s">
        <v>1316</v>
      </c>
      <c r="B354" t="str">
        <f t="shared" si="113"/>
        <v>Och-CBur_084_Ex1</v>
      </c>
      <c r="C354" s="3">
        <v>1</v>
      </c>
      <c r="E354" s="3" t="s">
        <v>1317</v>
      </c>
      <c r="F354" s="3">
        <v>12</v>
      </c>
      <c r="G354" s="3" t="s">
        <v>91</v>
      </c>
      <c r="H354">
        <v>4.4935235185448335</v>
      </c>
      <c r="I354" s="3" t="s">
        <v>74</v>
      </c>
      <c r="J354" s="3">
        <v>0.1</v>
      </c>
      <c r="K354" s="3">
        <v>7.25</v>
      </c>
      <c r="L354" s="3">
        <v>0.33</v>
      </c>
      <c r="O354" s="3">
        <v>100</v>
      </c>
      <c r="P354" s="3">
        <v>22.254250943006891</v>
      </c>
      <c r="R354" s="3">
        <v>10</v>
      </c>
      <c r="Z354">
        <v>8</v>
      </c>
      <c r="AA354" t="s">
        <v>92</v>
      </c>
      <c r="AB354" t="s">
        <v>1318</v>
      </c>
      <c r="AC354" s="3" t="s">
        <v>78</v>
      </c>
      <c r="AD354" s="3">
        <v>8</v>
      </c>
      <c r="AE354">
        <v>8</v>
      </c>
      <c r="AF354" t="s">
        <v>92</v>
      </c>
      <c r="AG354" t="s">
        <v>668</v>
      </c>
      <c r="AH354" s="17" t="s">
        <v>669</v>
      </c>
      <c r="AI354" t="s">
        <v>630</v>
      </c>
      <c r="AJ354" s="18" t="s">
        <v>631</v>
      </c>
      <c r="AO354" s="3">
        <v>4.7818831660670327</v>
      </c>
      <c r="AP354" s="3">
        <v>36</v>
      </c>
      <c r="AQ354" s="3">
        <f t="shared" si="112"/>
        <v>172.14779397841318</v>
      </c>
      <c r="BE354" s="3" t="s">
        <v>79</v>
      </c>
      <c r="BF354" s="3" t="s">
        <v>1320</v>
      </c>
      <c r="BG354" s="3" t="s">
        <v>416</v>
      </c>
      <c r="BH354" s="3" t="str">
        <f t="shared" si="132"/>
        <v>Och-CBur_LCWGS-libraries</v>
      </c>
      <c r="BI354" s="3" t="str">
        <f t="shared" si="133"/>
        <v>H8</v>
      </c>
      <c r="BJ354" s="3" t="str">
        <f t="shared" si="134"/>
        <v>Och-TL2-DilutionPlate</v>
      </c>
      <c r="BK354" s="3" t="str">
        <f t="shared" si="135"/>
        <v>G5</v>
      </c>
      <c r="BL354" s="3">
        <v>1.5</v>
      </c>
      <c r="BM354" s="3">
        <v>2</v>
      </c>
      <c r="BN354" s="3">
        <f t="shared" si="136"/>
        <v>3.5864123745502745</v>
      </c>
      <c r="BO354" s="3">
        <f t="shared" si="137"/>
        <v>2.0864123745502745</v>
      </c>
      <c r="BP354" s="3" t="s">
        <v>1321</v>
      </c>
      <c r="BQ354">
        <v>5</v>
      </c>
      <c r="BR354" s="3" t="s">
        <v>91</v>
      </c>
      <c r="BX354" s="21" t="s">
        <v>1322</v>
      </c>
      <c r="BY354" s="3" t="str">
        <f t="shared" si="121"/>
        <v>Och-TL2-DilutionPlate</v>
      </c>
      <c r="BZ354" s="3" t="str">
        <f t="shared" si="122"/>
        <v>G5</v>
      </c>
      <c r="CA354" s="3" t="str">
        <f t="shared" si="123"/>
        <v>Och-C-2</v>
      </c>
      <c r="CC354" s="3">
        <v>1.5</v>
      </c>
      <c r="CD354" s="10" t="s">
        <v>1434</v>
      </c>
      <c r="CE354" s="21" t="str">
        <f t="shared" si="105"/>
        <v>OcC0108408H</v>
      </c>
      <c r="CF354" s="21" t="str">
        <f t="shared" si="124"/>
        <v>Och-CBur_084_Ex1-8H-lcwgs-1-1</v>
      </c>
      <c r="CG354" s="3">
        <f t="shared" si="125"/>
        <v>0.62736790001237475</v>
      </c>
      <c r="CH354">
        <v>10543393</v>
      </c>
      <c r="CI354">
        <v>8819873</v>
      </c>
      <c r="CJ354" s="27" t="s">
        <v>79</v>
      </c>
      <c r="CK354" s="3">
        <v>16.19771127761382</v>
      </c>
      <c r="CL354" s="3" t="s">
        <v>1611</v>
      </c>
      <c r="CM354" s="33" t="s">
        <v>1757</v>
      </c>
      <c r="CN354" s="3" t="str">
        <f>B354&amp;"-"&amp;Z354&amp;AA354&amp;"-lcwgs-"&amp;C354&amp;"-2"</f>
        <v>Och-CBur_084_Ex1-8H-lcwgs-1-2</v>
      </c>
      <c r="CR354"/>
    </row>
    <row r="355" spans="1:96" x14ac:dyDescent="0.55000000000000004">
      <c r="A355" s="10" t="s">
        <v>1264</v>
      </c>
      <c r="B355" t="str">
        <f t="shared" si="113"/>
        <v>Och-CBur_086_Ex1</v>
      </c>
      <c r="C355" s="3">
        <v>1</v>
      </c>
      <c r="E355" s="3" t="s">
        <v>1317</v>
      </c>
      <c r="F355" s="3">
        <v>2</v>
      </c>
      <c r="G355" s="3" t="s">
        <v>92</v>
      </c>
      <c r="H355">
        <v>4.1339171521955373</v>
      </c>
      <c r="I355" s="3" t="s">
        <v>74</v>
      </c>
      <c r="J355" s="3">
        <v>0.1</v>
      </c>
      <c r="K355" s="3">
        <v>7.25</v>
      </c>
      <c r="L355" s="3">
        <v>0.33</v>
      </c>
      <c r="O355" s="3">
        <v>100</v>
      </c>
      <c r="P355" s="3">
        <v>24.190131615697634</v>
      </c>
      <c r="R355" s="3">
        <v>10</v>
      </c>
      <c r="Z355">
        <v>2</v>
      </c>
      <c r="AA355" t="s">
        <v>84</v>
      </c>
      <c r="AB355" t="s">
        <v>1318</v>
      </c>
      <c r="AC355" s="3" t="s">
        <v>78</v>
      </c>
      <c r="AD355" s="3">
        <v>8</v>
      </c>
      <c r="AE355">
        <v>2</v>
      </c>
      <c r="AF355" t="s">
        <v>84</v>
      </c>
      <c r="AG355" t="s">
        <v>660</v>
      </c>
      <c r="AH355" s="17" t="s">
        <v>661</v>
      </c>
      <c r="AI355" t="s">
        <v>618</v>
      </c>
      <c r="AJ355" s="18" t="s">
        <v>619</v>
      </c>
      <c r="AO355" s="3">
        <v>5.7963264533232337</v>
      </c>
      <c r="AP355" s="3">
        <v>36</v>
      </c>
      <c r="AQ355" s="3">
        <f t="shared" si="112"/>
        <v>208.66775231963641</v>
      </c>
      <c r="BE355" s="3" t="s">
        <v>79</v>
      </c>
      <c r="BF355" s="3" t="s">
        <v>1320</v>
      </c>
      <c r="BG355" s="3" t="s">
        <v>416</v>
      </c>
      <c r="BH355" s="3" t="str">
        <f t="shared" si="132"/>
        <v>Och-CBur_LCWGS-libraries</v>
      </c>
      <c r="BI355" s="3" t="str">
        <f t="shared" si="133"/>
        <v>D2</v>
      </c>
      <c r="BJ355" s="3" t="str">
        <f t="shared" si="134"/>
        <v>Och-TL2-DilutionPlate</v>
      </c>
      <c r="BK355" s="3" t="str">
        <f t="shared" si="135"/>
        <v>D10</v>
      </c>
      <c r="BL355" s="3">
        <v>1.5</v>
      </c>
      <c r="BM355" s="3">
        <v>2</v>
      </c>
      <c r="BN355" s="3">
        <f t="shared" si="136"/>
        <v>4.3472448399924257</v>
      </c>
      <c r="BO355" s="3">
        <f t="shared" si="137"/>
        <v>2.8472448399924257</v>
      </c>
      <c r="BP355" s="3" t="s">
        <v>1321</v>
      </c>
      <c r="BQ355">
        <v>10</v>
      </c>
      <c r="BR355" s="3" t="s">
        <v>84</v>
      </c>
      <c r="BX355" s="21" t="s">
        <v>1322</v>
      </c>
      <c r="BY355" s="3" t="str">
        <f t="shared" si="121"/>
        <v>Och-TL2-DilutionPlate</v>
      </c>
      <c r="BZ355" s="3" t="str">
        <f t="shared" si="122"/>
        <v>D10</v>
      </c>
      <c r="CA355" s="3" t="str">
        <f t="shared" si="123"/>
        <v>Och-C-2</v>
      </c>
      <c r="CC355" s="3">
        <v>1.5</v>
      </c>
      <c r="CD355" s="10" t="s">
        <v>1382</v>
      </c>
      <c r="CE355" s="21" t="str">
        <f t="shared" si="105"/>
        <v>OcC0108602D</v>
      </c>
      <c r="CF355" s="21" t="str">
        <f t="shared" si="124"/>
        <v>Och-CBur_086_Ex1-2D-lcwgs-1-1</v>
      </c>
      <c r="CG355" s="3">
        <f t="shared" si="125"/>
        <v>0.51756919216998143</v>
      </c>
      <c r="CH355">
        <v>12075194</v>
      </c>
      <c r="CI355">
        <v>10070413</v>
      </c>
      <c r="CJ355" s="27" t="s">
        <v>79</v>
      </c>
      <c r="CK355" s="3">
        <v>11.250021666434277</v>
      </c>
      <c r="CL355" s="3" t="s">
        <v>1611</v>
      </c>
      <c r="CM355" s="33" t="s">
        <v>1758</v>
      </c>
      <c r="CN355" s="3" t="str">
        <f>B355&amp;"-"&amp;Z355&amp;AA355&amp;"-lcwgs-"&amp;C355&amp;"-2"</f>
        <v>Och-CBur_086_Ex1-2D-lcwgs-1-2</v>
      </c>
      <c r="CR355"/>
    </row>
    <row r="356" spans="1:96" x14ac:dyDescent="0.55000000000000004">
      <c r="A356" s="10" t="s">
        <v>1268</v>
      </c>
      <c r="B356" t="str">
        <f t="shared" si="113"/>
        <v>Och-CBur_087_Ex1</v>
      </c>
      <c r="C356" s="3">
        <v>1</v>
      </c>
      <c r="E356" s="3" t="s">
        <v>1317</v>
      </c>
      <c r="F356" s="3">
        <v>3</v>
      </c>
      <c r="G356" s="3" t="s">
        <v>92</v>
      </c>
      <c r="H356">
        <v>4.4868374307233188</v>
      </c>
      <c r="I356" s="3" t="s">
        <v>74</v>
      </c>
      <c r="J356" s="3">
        <v>0.1</v>
      </c>
      <c r="K356" s="3">
        <v>7.25</v>
      </c>
      <c r="L356" s="3">
        <v>0.33</v>
      </c>
      <c r="O356" s="3">
        <v>100</v>
      </c>
      <c r="P356" s="3">
        <v>22.287413249086473</v>
      </c>
      <c r="R356" s="3">
        <v>10</v>
      </c>
      <c r="Z356">
        <v>2</v>
      </c>
      <c r="AA356" t="s">
        <v>92</v>
      </c>
      <c r="AB356" t="s">
        <v>1318</v>
      </c>
      <c r="AC356" s="3" t="s">
        <v>78</v>
      </c>
      <c r="AD356" s="3">
        <v>8</v>
      </c>
      <c r="AE356">
        <v>2</v>
      </c>
      <c r="AF356" t="s">
        <v>92</v>
      </c>
      <c r="AG356" t="s">
        <v>668</v>
      </c>
      <c r="AH356" s="17" t="s">
        <v>669</v>
      </c>
      <c r="AI356" t="s">
        <v>618</v>
      </c>
      <c r="AJ356" s="18" t="s">
        <v>619</v>
      </c>
      <c r="AO356" s="3">
        <v>8.5114608975572796</v>
      </c>
      <c r="AP356" s="3">
        <v>36</v>
      </c>
      <c r="AQ356" s="3">
        <f t="shared" si="112"/>
        <v>306.41259231206209</v>
      </c>
      <c r="BE356" s="3" t="s">
        <v>79</v>
      </c>
      <c r="BF356" s="3" t="s">
        <v>1320</v>
      </c>
      <c r="BG356" s="3" t="s">
        <v>416</v>
      </c>
      <c r="BH356" s="3" t="str">
        <f t="shared" si="132"/>
        <v>Och-CBur_LCWGS-libraries</v>
      </c>
      <c r="BI356" s="3" t="str">
        <f t="shared" si="133"/>
        <v>H2</v>
      </c>
      <c r="BJ356" s="3" t="str">
        <f t="shared" si="134"/>
        <v>Och-TL2-DilutionPlate</v>
      </c>
      <c r="BK356" s="3" t="str">
        <f t="shared" si="135"/>
        <v>F12</v>
      </c>
      <c r="BL356" s="3">
        <v>1.5</v>
      </c>
      <c r="BM356" s="3">
        <v>2</v>
      </c>
      <c r="BN356" s="3">
        <f t="shared" si="136"/>
        <v>6.3835956731679602</v>
      </c>
      <c r="BO356" s="3">
        <f t="shared" si="137"/>
        <v>4.8835956731679602</v>
      </c>
      <c r="BP356" s="3" t="s">
        <v>1321</v>
      </c>
      <c r="BQ356">
        <v>12</v>
      </c>
      <c r="BR356" s="3" t="s">
        <v>88</v>
      </c>
      <c r="BX356" s="21" t="s">
        <v>1322</v>
      </c>
      <c r="BY356" s="3" t="str">
        <f t="shared" si="121"/>
        <v>Och-TL2-DilutionPlate</v>
      </c>
      <c r="BZ356" s="3" t="str">
        <f t="shared" si="122"/>
        <v>F12</v>
      </c>
      <c r="CA356" s="3" t="str">
        <f t="shared" si="123"/>
        <v>Och-C-2</v>
      </c>
      <c r="CC356" s="3">
        <v>1.5</v>
      </c>
      <c r="CD356" s="10" t="s">
        <v>1386</v>
      </c>
      <c r="CE356" s="21" t="str">
        <f t="shared" si="105"/>
        <v>OcC0108702H</v>
      </c>
      <c r="CF356" s="21" t="str">
        <f t="shared" si="124"/>
        <v>Och-CBur_087_Ex1-2H-lcwgs-1-1</v>
      </c>
      <c r="CG356" s="3">
        <f t="shared" si="125"/>
        <v>0.35246593224213429</v>
      </c>
      <c r="CH356">
        <v>13518871</v>
      </c>
      <c r="CI356">
        <v>11072686</v>
      </c>
      <c r="CJ356" s="27" t="s">
        <v>79</v>
      </c>
      <c r="CK356" s="3">
        <v>6.7427173613699702</v>
      </c>
      <c r="CL356" s="3" t="s">
        <v>1611</v>
      </c>
      <c r="CM356" s="33" t="s">
        <v>1759</v>
      </c>
      <c r="CN356" s="3" t="str">
        <f>B356&amp;"-"&amp;Z356&amp;AA356&amp;"-lcwgs-"&amp;C356&amp;"-2"</f>
        <v>Och-CBur_087_Ex1-2H-lcwgs-1-2</v>
      </c>
      <c r="CR356"/>
    </row>
    <row r="357" spans="1:96" x14ac:dyDescent="0.55000000000000004">
      <c r="A357" s="10" t="s">
        <v>1275</v>
      </c>
      <c r="B357" t="str">
        <f t="shared" si="113"/>
        <v>Och-CBur_088_Ex1</v>
      </c>
      <c r="C357" s="3">
        <v>1</v>
      </c>
      <c r="E357" s="3" t="s">
        <v>1317</v>
      </c>
      <c r="F357" s="3">
        <v>4</v>
      </c>
      <c r="G357" s="3" t="s">
        <v>92</v>
      </c>
      <c r="H357">
        <v>3.8317464828762251</v>
      </c>
      <c r="I357" s="3" t="s">
        <v>74</v>
      </c>
      <c r="J357" s="3">
        <v>0.1</v>
      </c>
      <c r="K357" s="3">
        <v>7.25</v>
      </c>
      <c r="L357" s="3">
        <v>0.33</v>
      </c>
      <c r="O357" s="3">
        <v>100</v>
      </c>
      <c r="P357" s="3">
        <v>26.097759976264651</v>
      </c>
      <c r="R357" s="3">
        <v>10</v>
      </c>
      <c r="Z357">
        <v>3</v>
      </c>
      <c r="AA357" t="s">
        <v>91</v>
      </c>
      <c r="AB357" t="s">
        <v>1318</v>
      </c>
      <c r="AC357" s="3" t="s">
        <v>78</v>
      </c>
      <c r="AD357" s="3">
        <v>8</v>
      </c>
      <c r="AE357">
        <v>3</v>
      </c>
      <c r="AF357" t="s">
        <v>91</v>
      </c>
      <c r="AG357" t="s">
        <v>666</v>
      </c>
      <c r="AH357" s="17" t="s">
        <v>667</v>
      </c>
      <c r="AI357" t="s">
        <v>620</v>
      </c>
      <c r="AJ357" s="18" t="s">
        <v>621</v>
      </c>
      <c r="AO357" s="3">
        <v>5.8846903995455406</v>
      </c>
      <c r="AP357" s="3">
        <v>36</v>
      </c>
      <c r="AQ357" s="3">
        <f t="shared" si="112"/>
        <v>211.84885438363946</v>
      </c>
      <c r="BE357" s="3" t="s">
        <v>79</v>
      </c>
      <c r="BF357" s="3" t="s">
        <v>1320</v>
      </c>
      <c r="BG357" s="3" t="s">
        <v>416</v>
      </c>
      <c r="BH357" s="3" t="str">
        <f t="shared" si="132"/>
        <v>Och-CBur_LCWGS-libraries</v>
      </c>
      <c r="BI357" s="3" t="str">
        <f t="shared" si="133"/>
        <v>G3</v>
      </c>
      <c r="BJ357" s="3" t="str">
        <f t="shared" si="134"/>
        <v>Och-TL2-DilutionPlate</v>
      </c>
      <c r="BK357" s="3" t="str">
        <f t="shared" si="135"/>
        <v>F6</v>
      </c>
      <c r="BL357" s="3">
        <v>1.5</v>
      </c>
      <c r="BM357" s="3">
        <v>2</v>
      </c>
      <c r="BN357" s="3">
        <f t="shared" si="136"/>
        <v>4.4135177996591555</v>
      </c>
      <c r="BO357" s="3">
        <f t="shared" si="137"/>
        <v>2.9135177996591555</v>
      </c>
      <c r="BP357" s="3" t="s">
        <v>1321</v>
      </c>
      <c r="BQ357">
        <v>6</v>
      </c>
      <c r="BR357" s="3" t="s">
        <v>88</v>
      </c>
      <c r="BX357" s="21" t="s">
        <v>1322</v>
      </c>
      <c r="BY357" s="3" t="str">
        <f t="shared" si="121"/>
        <v>Och-TL2-DilutionPlate</v>
      </c>
      <c r="BZ357" s="3" t="str">
        <f t="shared" si="122"/>
        <v>F6</v>
      </c>
      <c r="CA357" s="3" t="str">
        <f t="shared" si="123"/>
        <v>Och-C-2</v>
      </c>
      <c r="CC357" s="3">
        <v>1.5</v>
      </c>
      <c r="CD357" s="10" t="s">
        <v>1393</v>
      </c>
      <c r="CE357" s="21" t="str">
        <f t="shared" si="105"/>
        <v>OcC0108803G</v>
      </c>
      <c r="CF357" s="21" t="str">
        <f t="shared" si="124"/>
        <v>Och-CBur_088_Ex1-3G-lcwgs-1-1</v>
      </c>
      <c r="CG357" s="3">
        <f t="shared" si="125"/>
        <v>0.50979742285706009</v>
      </c>
      <c r="CH357">
        <v>11225033</v>
      </c>
      <c r="CI357">
        <v>9265494</v>
      </c>
      <c r="CJ357" s="27" t="s">
        <v>79</v>
      </c>
      <c r="CK357" s="3">
        <v>12.356197860563501</v>
      </c>
      <c r="CL357" s="3" t="s">
        <v>1611</v>
      </c>
      <c r="CM357" s="33" t="s">
        <v>1760</v>
      </c>
      <c r="CN357" s="3" t="str">
        <f>B357&amp;"-"&amp;Z357&amp;AA357&amp;"-lcwgs-"&amp;C357&amp;"-2"</f>
        <v>Och-CBur_088_Ex1-3G-lcwgs-1-2</v>
      </c>
      <c r="CR357"/>
    </row>
    <row r="358" spans="1:96" x14ac:dyDescent="0.55000000000000004">
      <c r="A358" s="10" t="s">
        <v>1282</v>
      </c>
      <c r="B358" t="str">
        <f t="shared" si="113"/>
        <v>Och-CBur_089_Ex1</v>
      </c>
      <c r="C358" s="3">
        <v>1</v>
      </c>
      <c r="E358" s="3" t="s">
        <v>1317</v>
      </c>
      <c r="F358" s="3">
        <v>5</v>
      </c>
      <c r="G358" s="3" t="s">
        <v>92</v>
      </c>
      <c r="H358">
        <v>7.3880915162711371</v>
      </c>
      <c r="I358" s="3" t="s">
        <v>74</v>
      </c>
      <c r="J358" s="3">
        <v>0.1</v>
      </c>
      <c r="K358" s="3">
        <v>7.25</v>
      </c>
      <c r="L358" s="3">
        <v>0.33</v>
      </c>
      <c r="O358" s="3">
        <v>100</v>
      </c>
      <c r="P358" s="3">
        <v>13.535295249086365</v>
      </c>
      <c r="R358" s="3">
        <v>10</v>
      </c>
      <c r="Z358">
        <v>4</v>
      </c>
      <c r="AA358" t="s">
        <v>88</v>
      </c>
      <c r="AB358" t="s">
        <v>1318</v>
      </c>
      <c r="AC358" s="3" t="s">
        <v>78</v>
      </c>
      <c r="AD358" s="3">
        <v>8</v>
      </c>
      <c r="AE358">
        <v>4</v>
      </c>
      <c r="AF358" t="s">
        <v>88</v>
      </c>
      <c r="AG358" t="s">
        <v>664</v>
      </c>
      <c r="AH358" s="17" t="s">
        <v>665</v>
      </c>
      <c r="AI358" t="s">
        <v>622</v>
      </c>
      <c r="AJ358" s="18" t="s">
        <v>623</v>
      </c>
      <c r="AO358" s="3">
        <v>6.134624124218897</v>
      </c>
      <c r="AP358" s="3">
        <v>36</v>
      </c>
      <c r="AQ358" s="3">
        <f t="shared" si="112"/>
        <v>220.84646847188029</v>
      </c>
      <c r="BE358" s="3" t="s">
        <v>79</v>
      </c>
      <c r="BF358" s="3" t="s">
        <v>1320</v>
      </c>
      <c r="BG358" s="3" t="s">
        <v>416</v>
      </c>
      <c r="BH358" s="3" t="str">
        <f t="shared" si="132"/>
        <v>Och-CBur_LCWGS-libraries</v>
      </c>
      <c r="BI358" s="3" t="str">
        <f t="shared" si="133"/>
        <v>F4</v>
      </c>
      <c r="BJ358" s="3" t="str">
        <f t="shared" si="134"/>
        <v>Och-TL2-DilutionPlate</v>
      </c>
      <c r="BK358" s="3" t="str">
        <f t="shared" si="135"/>
        <v>F1</v>
      </c>
      <c r="BL358" s="3">
        <v>1.5</v>
      </c>
      <c r="BM358" s="3">
        <v>2</v>
      </c>
      <c r="BN358" s="3">
        <f t="shared" si="136"/>
        <v>4.6009680931641732</v>
      </c>
      <c r="BO358" s="3">
        <f t="shared" si="137"/>
        <v>3.1009680931641732</v>
      </c>
      <c r="BP358" s="3" t="s">
        <v>1321</v>
      </c>
      <c r="BQ358">
        <v>1</v>
      </c>
      <c r="BR358" s="3" t="s">
        <v>88</v>
      </c>
      <c r="BX358" s="21" t="s">
        <v>1322</v>
      </c>
      <c r="BY358" s="3" t="str">
        <f t="shared" si="121"/>
        <v>Och-TL2-DilutionPlate</v>
      </c>
      <c r="BZ358" s="3" t="str">
        <f t="shared" si="122"/>
        <v>F1</v>
      </c>
      <c r="CA358" s="3" t="str">
        <f t="shared" si="123"/>
        <v>Och-C-2</v>
      </c>
      <c r="CC358" s="3">
        <v>1.5</v>
      </c>
      <c r="CD358" s="10" t="s">
        <v>1400</v>
      </c>
      <c r="CE358" s="21" t="str">
        <f t="shared" si="105"/>
        <v>OcC0108904F</v>
      </c>
      <c r="CF358" s="21" t="str">
        <f t="shared" si="124"/>
        <v>Och-CBur_089_Ex1-4F-lcwgs-1-1</v>
      </c>
      <c r="CG358" s="3">
        <f t="shared" si="125"/>
        <v>0.48902751647917475</v>
      </c>
      <c r="CH358">
        <v>11566008</v>
      </c>
      <c r="CI358">
        <v>9445286</v>
      </c>
      <c r="CJ358" s="27" t="s">
        <v>79</v>
      </c>
      <c r="CK358" s="3">
        <v>11.561493569621334</v>
      </c>
      <c r="CL358" s="3" t="s">
        <v>1611</v>
      </c>
      <c r="CM358" s="33" t="s">
        <v>1761</v>
      </c>
      <c r="CN358" s="3" t="str">
        <f>B358&amp;"-"&amp;Z358&amp;AA358&amp;"-lcwgs-"&amp;C358&amp;"-2"</f>
        <v>Och-CBur_089_Ex1-4F-lcwgs-1-2</v>
      </c>
      <c r="CR358"/>
    </row>
  </sheetData>
  <autoFilter ref="A1:AMF358" xr:uid="{00000000-0001-0000-0000-000000000000}"/>
  <sortState xmlns:xlrd2="http://schemas.microsoft.com/office/spreadsheetml/2017/richdata2" ref="A2:AMF359">
    <sortCondition ref="BX2:BX359"/>
    <sortCondition ref="CE2:CE359"/>
  </sortState>
  <phoneticPr fontId="1" type="noConversion"/>
  <pageMargins left="0.7" right="0.7" top="0.75" bottom="0.75" header="0.51180555555555496" footer="0.51180555555555496"/>
  <pageSetup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5A76-DF58-45A0-974E-F42224E0098D}">
  <dimension ref="A1:B247"/>
  <sheetViews>
    <sheetView topLeftCell="A79" workbookViewId="0">
      <selection activeCell="E123" sqref="E123"/>
    </sheetView>
  </sheetViews>
  <sheetFormatPr defaultRowHeight="14.4" x14ac:dyDescent="0.55000000000000004"/>
  <cols>
    <col min="1" max="1" width="16.15625" bestFit="1" customWidth="1"/>
    <col min="2" max="2" width="31.68359375" bestFit="1" customWidth="1"/>
  </cols>
  <sheetData>
    <row r="1" spans="1:2" x14ac:dyDescent="0.55000000000000004">
      <c r="A1" t="s">
        <v>36</v>
      </c>
      <c r="B1" t="s">
        <v>1</v>
      </c>
    </row>
    <row r="2" spans="1:2" x14ac:dyDescent="0.55000000000000004">
      <c r="A2" t="s">
        <v>1690</v>
      </c>
      <c r="B2" t="s">
        <v>1861</v>
      </c>
    </row>
    <row r="3" spans="1:2" x14ac:dyDescent="0.55000000000000004">
      <c r="A3" t="s">
        <v>1691</v>
      </c>
      <c r="B3" t="s">
        <v>1862</v>
      </c>
    </row>
    <row r="4" spans="1:2" x14ac:dyDescent="0.55000000000000004">
      <c r="A4" t="s">
        <v>1692</v>
      </c>
      <c r="B4" t="s">
        <v>1863</v>
      </c>
    </row>
    <row r="5" spans="1:2" x14ac:dyDescent="0.55000000000000004">
      <c r="A5" t="s">
        <v>1693</v>
      </c>
      <c r="B5" t="s">
        <v>1864</v>
      </c>
    </row>
    <row r="6" spans="1:2" x14ac:dyDescent="0.55000000000000004">
      <c r="A6" t="s">
        <v>1694</v>
      </c>
      <c r="B6" t="s">
        <v>1865</v>
      </c>
    </row>
    <row r="7" spans="1:2" x14ac:dyDescent="0.55000000000000004">
      <c r="A7" t="s">
        <v>1695</v>
      </c>
      <c r="B7" t="s">
        <v>1866</v>
      </c>
    </row>
    <row r="8" spans="1:2" x14ac:dyDescent="0.55000000000000004">
      <c r="A8" t="s">
        <v>1696</v>
      </c>
      <c r="B8" t="s">
        <v>1867</v>
      </c>
    </row>
    <row r="9" spans="1:2" x14ac:dyDescent="0.55000000000000004">
      <c r="A9" t="s">
        <v>1697</v>
      </c>
      <c r="B9" t="s">
        <v>1868</v>
      </c>
    </row>
    <row r="10" spans="1:2" x14ac:dyDescent="0.55000000000000004">
      <c r="A10" t="s">
        <v>1698</v>
      </c>
      <c r="B10" t="s">
        <v>1869</v>
      </c>
    </row>
    <row r="11" spans="1:2" x14ac:dyDescent="0.55000000000000004">
      <c r="A11" t="s">
        <v>1699</v>
      </c>
      <c r="B11" t="s">
        <v>1870</v>
      </c>
    </row>
    <row r="12" spans="1:2" x14ac:dyDescent="0.55000000000000004">
      <c r="A12" t="s">
        <v>1700</v>
      </c>
      <c r="B12" t="s">
        <v>1871</v>
      </c>
    </row>
    <row r="13" spans="1:2" x14ac:dyDescent="0.55000000000000004">
      <c r="A13" t="s">
        <v>1701</v>
      </c>
      <c r="B13" t="s">
        <v>1872</v>
      </c>
    </row>
    <row r="14" spans="1:2" x14ac:dyDescent="0.55000000000000004">
      <c r="A14" t="s">
        <v>1702</v>
      </c>
      <c r="B14" t="s">
        <v>1873</v>
      </c>
    </row>
    <row r="15" spans="1:2" x14ac:dyDescent="0.55000000000000004">
      <c r="A15" t="s">
        <v>1703</v>
      </c>
      <c r="B15" t="s">
        <v>1874</v>
      </c>
    </row>
    <row r="16" spans="1:2" x14ac:dyDescent="0.55000000000000004">
      <c r="A16" t="s">
        <v>1704</v>
      </c>
      <c r="B16" t="s">
        <v>1875</v>
      </c>
    </row>
    <row r="17" spans="1:2" x14ac:dyDescent="0.55000000000000004">
      <c r="A17" t="s">
        <v>1705</v>
      </c>
      <c r="B17" t="s">
        <v>1876</v>
      </c>
    </row>
    <row r="18" spans="1:2" x14ac:dyDescent="0.55000000000000004">
      <c r="A18" t="s">
        <v>1706</v>
      </c>
      <c r="B18" t="s">
        <v>1877</v>
      </c>
    </row>
    <row r="19" spans="1:2" x14ac:dyDescent="0.55000000000000004">
      <c r="A19" t="s">
        <v>1707</v>
      </c>
      <c r="B19" t="s">
        <v>1878</v>
      </c>
    </row>
    <row r="20" spans="1:2" x14ac:dyDescent="0.55000000000000004">
      <c r="A20" t="s">
        <v>1708</v>
      </c>
      <c r="B20" t="s">
        <v>1879</v>
      </c>
    </row>
    <row r="21" spans="1:2" x14ac:dyDescent="0.55000000000000004">
      <c r="A21" t="s">
        <v>1709</v>
      </c>
      <c r="B21" t="s">
        <v>1880</v>
      </c>
    </row>
    <row r="22" spans="1:2" x14ac:dyDescent="0.55000000000000004">
      <c r="A22" t="s">
        <v>1710</v>
      </c>
      <c r="B22" t="s">
        <v>1881</v>
      </c>
    </row>
    <row r="23" spans="1:2" x14ac:dyDescent="0.55000000000000004">
      <c r="A23" t="s">
        <v>1711</v>
      </c>
      <c r="B23" t="s">
        <v>1882</v>
      </c>
    </row>
    <row r="24" spans="1:2" x14ac:dyDescent="0.55000000000000004">
      <c r="A24" t="s">
        <v>1712</v>
      </c>
      <c r="B24" t="s">
        <v>1883</v>
      </c>
    </row>
    <row r="25" spans="1:2" x14ac:dyDescent="0.55000000000000004">
      <c r="A25" t="s">
        <v>1713</v>
      </c>
      <c r="B25" t="s">
        <v>1884</v>
      </c>
    </row>
    <row r="26" spans="1:2" x14ac:dyDescent="0.55000000000000004">
      <c r="A26" t="s">
        <v>1614</v>
      </c>
      <c r="B26" t="s">
        <v>1885</v>
      </c>
    </row>
    <row r="27" spans="1:2" x14ac:dyDescent="0.55000000000000004">
      <c r="A27" t="s">
        <v>1616</v>
      </c>
      <c r="B27" t="s">
        <v>1886</v>
      </c>
    </row>
    <row r="28" spans="1:2" x14ac:dyDescent="0.55000000000000004">
      <c r="A28" t="s">
        <v>1618</v>
      </c>
      <c r="B28" t="s">
        <v>1887</v>
      </c>
    </row>
    <row r="29" spans="1:2" x14ac:dyDescent="0.55000000000000004">
      <c r="A29" t="s">
        <v>1620</v>
      </c>
      <c r="B29" t="s">
        <v>1888</v>
      </c>
    </row>
    <row r="30" spans="1:2" x14ac:dyDescent="0.55000000000000004">
      <c r="A30" t="s">
        <v>1622</v>
      </c>
      <c r="B30" t="s">
        <v>1889</v>
      </c>
    </row>
    <row r="31" spans="1:2" x14ac:dyDescent="0.55000000000000004">
      <c r="A31" t="s">
        <v>1624</v>
      </c>
      <c r="B31" t="s">
        <v>1890</v>
      </c>
    </row>
    <row r="32" spans="1:2" x14ac:dyDescent="0.55000000000000004">
      <c r="A32" t="s">
        <v>1626</v>
      </c>
      <c r="B32" t="s">
        <v>1891</v>
      </c>
    </row>
    <row r="33" spans="1:2" x14ac:dyDescent="0.55000000000000004">
      <c r="A33" t="s">
        <v>1628</v>
      </c>
      <c r="B33" t="s">
        <v>1892</v>
      </c>
    </row>
    <row r="34" spans="1:2" x14ac:dyDescent="0.55000000000000004">
      <c r="A34" t="s">
        <v>1630</v>
      </c>
      <c r="B34" t="s">
        <v>1893</v>
      </c>
    </row>
    <row r="35" spans="1:2" x14ac:dyDescent="0.55000000000000004">
      <c r="A35" t="s">
        <v>1632</v>
      </c>
      <c r="B35" t="s">
        <v>1894</v>
      </c>
    </row>
    <row r="36" spans="1:2" x14ac:dyDescent="0.55000000000000004">
      <c r="A36" t="s">
        <v>1634</v>
      </c>
      <c r="B36" t="s">
        <v>1895</v>
      </c>
    </row>
    <row r="37" spans="1:2" x14ac:dyDescent="0.55000000000000004">
      <c r="A37" t="s">
        <v>1636</v>
      </c>
      <c r="B37" t="s">
        <v>1896</v>
      </c>
    </row>
    <row r="38" spans="1:2" x14ac:dyDescent="0.55000000000000004">
      <c r="A38" t="s">
        <v>1638</v>
      </c>
      <c r="B38" t="s">
        <v>1897</v>
      </c>
    </row>
    <row r="39" spans="1:2" x14ac:dyDescent="0.55000000000000004">
      <c r="A39" t="s">
        <v>1640</v>
      </c>
      <c r="B39" t="s">
        <v>1898</v>
      </c>
    </row>
    <row r="40" spans="1:2" x14ac:dyDescent="0.55000000000000004">
      <c r="A40" t="s">
        <v>1642</v>
      </c>
      <c r="B40" t="s">
        <v>1899</v>
      </c>
    </row>
    <row r="41" spans="1:2" x14ac:dyDescent="0.55000000000000004">
      <c r="A41" t="s">
        <v>1644</v>
      </c>
      <c r="B41" t="s">
        <v>1900</v>
      </c>
    </row>
    <row r="42" spans="1:2" x14ac:dyDescent="0.55000000000000004">
      <c r="A42" t="s">
        <v>1646</v>
      </c>
      <c r="B42" t="s">
        <v>1901</v>
      </c>
    </row>
    <row r="43" spans="1:2" x14ac:dyDescent="0.55000000000000004">
      <c r="A43" t="s">
        <v>1648</v>
      </c>
      <c r="B43" t="s">
        <v>1902</v>
      </c>
    </row>
    <row r="44" spans="1:2" x14ac:dyDescent="0.55000000000000004">
      <c r="A44" t="s">
        <v>1650</v>
      </c>
      <c r="B44" t="s">
        <v>1903</v>
      </c>
    </row>
    <row r="45" spans="1:2" x14ac:dyDescent="0.55000000000000004">
      <c r="A45" t="s">
        <v>1652</v>
      </c>
      <c r="B45" t="s">
        <v>1904</v>
      </c>
    </row>
    <row r="46" spans="1:2" x14ac:dyDescent="0.55000000000000004">
      <c r="A46" t="s">
        <v>1654</v>
      </c>
      <c r="B46" t="s">
        <v>1905</v>
      </c>
    </row>
    <row r="47" spans="1:2" x14ac:dyDescent="0.55000000000000004">
      <c r="A47" t="s">
        <v>1656</v>
      </c>
      <c r="B47" t="s">
        <v>1906</v>
      </c>
    </row>
    <row r="48" spans="1:2" x14ac:dyDescent="0.55000000000000004">
      <c r="A48" s="20" t="s">
        <v>1658</v>
      </c>
      <c r="B48" t="s">
        <v>1907</v>
      </c>
    </row>
    <row r="49" spans="1:2" x14ac:dyDescent="0.55000000000000004">
      <c r="A49" t="s">
        <v>1660</v>
      </c>
      <c r="B49" t="s">
        <v>1908</v>
      </c>
    </row>
    <row r="50" spans="1:2" x14ac:dyDescent="0.55000000000000004">
      <c r="A50" t="s">
        <v>1662</v>
      </c>
      <c r="B50" t="s">
        <v>1909</v>
      </c>
    </row>
    <row r="51" spans="1:2" x14ac:dyDescent="0.55000000000000004">
      <c r="A51" t="s">
        <v>1664</v>
      </c>
      <c r="B51" t="s">
        <v>1910</v>
      </c>
    </row>
    <row r="52" spans="1:2" x14ac:dyDescent="0.55000000000000004">
      <c r="A52" t="s">
        <v>1666</v>
      </c>
      <c r="B52" t="s">
        <v>1911</v>
      </c>
    </row>
    <row r="53" spans="1:2" x14ac:dyDescent="0.55000000000000004">
      <c r="A53" t="s">
        <v>1668</v>
      </c>
      <c r="B53" t="s">
        <v>1912</v>
      </c>
    </row>
    <row r="54" spans="1:2" x14ac:dyDescent="0.55000000000000004">
      <c r="A54" t="s">
        <v>1670</v>
      </c>
      <c r="B54" t="s">
        <v>1913</v>
      </c>
    </row>
    <row r="55" spans="1:2" x14ac:dyDescent="0.55000000000000004">
      <c r="A55" t="s">
        <v>1672</v>
      </c>
      <c r="B55" t="s">
        <v>1914</v>
      </c>
    </row>
    <row r="56" spans="1:2" x14ac:dyDescent="0.55000000000000004">
      <c r="A56" t="s">
        <v>1674</v>
      </c>
      <c r="B56" t="s">
        <v>1915</v>
      </c>
    </row>
    <row r="57" spans="1:2" x14ac:dyDescent="0.55000000000000004">
      <c r="A57" t="s">
        <v>1676</v>
      </c>
      <c r="B57" t="s">
        <v>1916</v>
      </c>
    </row>
    <row r="58" spans="1:2" x14ac:dyDescent="0.55000000000000004">
      <c r="A58" t="s">
        <v>1678</v>
      </c>
      <c r="B58" t="s">
        <v>1917</v>
      </c>
    </row>
    <row r="59" spans="1:2" x14ac:dyDescent="0.55000000000000004">
      <c r="A59" t="s">
        <v>1680</v>
      </c>
      <c r="B59" t="s">
        <v>1918</v>
      </c>
    </row>
    <row r="60" spans="1:2" x14ac:dyDescent="0.55000000000000004">
      <c r="A60" t="s">
        <v>1682</v>
      </c>
      <c r="B60" t="s">
        <v>1919</v>
      </c>
    </row>
    <row r="61" spans="1:2" x14ac:dyDescent="0.55000000000000004">
      <c r="A61" t="s">
        <v>1684</v>
      </c>
      <c r="B61" t="s">
        <v>1920</v>
      </c>
    </row>
    <row r="62" spans="1:2" x14ac:dyDescent="0.55000000000000004">
      <c r="A62" t="s">
        <v>1686</v>
      </c>
      <c r="B62" t="s">
        <v>1921</v>
      </c>
    </row>
    <row r="63" spans="1:2" x14ac:dyDescent="0.55000000000000004">
      <c r="A63" t="s">
        <v>1687</v>
      </c>
      <c r="B63" t="s">
        <v>1922</v>
      </c>
    </row>
    <row r="64" spans="1:2" x14ac:dyDescent="0.55000000000000004">
      <c r="A64" t="s">
        <v>1858</v>
      </c>
      <c r="B64" t="s">
        <v>1923</v>
      </c>
    </row>
    <row r="65" spans="1:2" x14ac:dyDescent="0.55000000000000004">
      <c r="A65" t="s">
        <v>1859</v>
      </c>
      <c r="B65" t="s">
        <v>1924</v>
      </c>
    </row>
    <row r="66" spans="1:2" x14ac:dyDescent="0.55000000000000004">
      <c r="A66" t="s">
        <v>1688</v>
      </c>
      <c r="B66" t="s">
        <v>1925</v>
      </c>
    </row>
    <row r="67" spans="1:2" x14ac:dyDescent="0.55000000000000004">
      <c r="A67" t="s">
        <v>1689</v>
      </c>
      <c r="B67" t="s">
        <v>1926</v>
      </c>
    </row>
    <row r="68" spans="1:2" x14ac:dyDescent="0.55000000000000004">
      <c r="A68" t="s">
        <v>1615</v>
      </c>
      <c r="B68" t="s">
        <v>1927</v>
      </c>
    </row>
    <row r="69" spans="1:2" x14ac:dyDescent="0.55000000000000004">
      <c r="A69" t="s">
        <v>1617</v>
      </c>
      <c r="B69" t="s">
        <v>1928</v>
      </c>
    </row>
    <row r="70" spans="1:2" x14ac:dyDescent="0.55000000000000004">
      <c r="A70" t="s">
        <v>1619</v>
      </c>
      <c r="B70" t="s">
        <v>1929</v>
      </c>
    </row>
    <row r="71" spans="1:2" x14ac:dyDescent="0.55000000000000004">
      <c r="A71" t="s">
        <v>1621</v>
      </c>
      <c r="B71" t="s">
        <v>1930</v>
      </c>
    </row>
    <row r="72" spans="1:2" x14ac:dyDescent="0.55000000000000004">
      <c r="A72" t="s">
        <v>1623</v>
      </c>
      <c r="B72" t="s">
        <v>1931</v>
      </c>
    </row>
    <row r="73" spans="1:2" x14ac:dyDescent="0.55000000000000004">
      <c r="A73" t="s">
        <v>1625</v>
      </c>
      <c r="B73" t="s">
        <v>1932</v>
      </c>
    </row>
    <row r="74" spans="1:2" x14ac:dyDescent="0.55000000000000004">
      <c r="A74" t="s">
        <v>1627</v>
      </c>
      <c r="B74" t="s">
        <v>1933</v>
      </c>
    </row>
    <row r="75" spans="1:2" x14ac:dyDescent="0.55000000000000004">
      <c r="A75" t="s">
        <v>1629</v>
      </c>
      <c r="B75" t="s">
        <v>1934</v>
      </c>
    </row>
    <row r="76" spans="1:2" x14ac:dyDescent="0.55000000000000004">
      <c r="A76" t="s">
        <v>1631</v>
      </c>
      <c r="B76" t="s">
        <v>1935</v>
      </c>
    </row>
    <row r="77" spans="1:2" x14ac:dyDescent="0.55000000000000004">
      <c r="A77" t="s">
        <v>1633</v>
      </c>
      <c r="B77" t="s">
        <v>1936</v>
      </c>
    </row>
    <row r="78" spans="1:2" x14ac:dyDescent="0.55000000000000004">
      <c r="A78" t="s">
        <v>1635</v>
      </c>
      <c r="B78" t="s">
        <v>1937</v>
      </c>
    </row>
    <row r="79" spans="1:2" x14ac:dyDescent="0.55000000000000004">
      <c r="A79" t="s">
        <v>1637</v>
      </c>
      <c r="B79" t="s">
        <v>1938</v>
      </c>
    </row>
    <row r="80" spans="1:2" x14ac:dyDescent="0.55000000000000004">
      <c r="A80" t="s">
        <v>1639</v>
      </c>
      <c r="B80" t="s">
        <v>1939</v>
      </c>
    </row>
    <row r="81" spans="1:2" x14ac:dyDescent="0.55000000000000004">
      <c r="A81" t="s">
        <v>1641</v>
      </c>
      <c r="B81" t="s">
        <v>1940</v>
      </c>
    </row>
    <row r="82" spans="1:2" x14ac:dyDescent="0.55000000000000004">
      <c r="A82" t="s">
        <v>1643</v>
      </c>
      <c r="B82" t="s">
        <v>1941</v>
      </c>
    </row>
    <row r="83" spans="1:2" x14ac:dyDescent="0.55000000000000004">
      <c r="A83" t="s">
        <v>1645</v>
      </c>
      <c r="B83" t="s">
        <v>1942</v>
      </c>
    </row>
    <row r="84" spans="1:2" x14ac:dyDescent="0.55000000000000004">
      <c r="A84" t="s">
        <v>1647</v>
      </c>
      <c r="B84" t="s">
        <v>1943</v>
      </c>
    </row>
    <row r="85" spans="1:2" x14ac:dyDescent="0.55000000000000004">
      <c r="A85" t="s">
        <v>1649</v>
      </c>
      <c r="B85" t="s">
        <v>1944</v>
      </c>
    </row>
    <row r="86" spans="1:2" x14ac:dyDescent="0.55000000000000004">
      <c r="A86" t="s">
        <v>1651</v>
      </c>
      <c r="B86" t="s">
        <v>1945</v>
      </c>
    </row>
    <row r="87" spans="1:2" x14ac:dyDescent="0.55000000000000004">
      <c r="A87" t="s">
        <v>1653</v>
      </c>
      <c r="B87" t="s">
        <v>1946</v>
      </c>
    </row>
    <row r="88" spans="1:2" x14ac:dyDescent="0.55000000000000004">
      <c r="A88" t="s">
        <v>1655</v>
      </c>
      <c r="B88" t="s">
        <v>1947</v>
      </c>
    </row>
    <row r="89" spans="1:2" x14ac:dyDescent="0.55000000000000004">
      <c r="A89" t="s">
        <v>1657</v>
      </c>
      <c r="B89" t="s">
        <v>1948</v>
      </c>
    </row>
    <row r="90" spans="1:2" x14ac:dyDescent="0.55000000000000004">
      <c r="A90" t="s">
        <v>1659</v>
      </c>
      <c r="B90" t="s">
        <v>1949</v>
      </c>
    </row>
    <row r="91" spans="1:2" x14ac:dyDescent="0.55000000000000004">
      <c r="A91" t="s">
        <v>1661</v>
      </c>
      <c r="B91" t="s">
        <v>1950</v>
      </c>
    </row>
    <row r="92" spans="1:2" x14ac:dyDescent="0.55000000000000004">
      <c r="A92" t="s">
        <v>1663</v>
      </c>
      <c r="B92" t="s">
        <v>1951</v>
      </c>
    </row>
    <row r="93" spans="1:2" x14ac:dyDescent="0.55000000000000004">
      <c r="A93" t="s">
        <v>1665</v>
      </c>
      <c r="B93" t="s">
        <v>1952</v>
      </c>
    </row>
    <row r="94" spans="1:2" x14ac:dyDescent="0.55000000000000004">
      <c r="A94" t="s">
        <v>1667</v>
      </c>
      <c r="B94" t="s">
        <v>1953</v>
      </c>
    </row>
    <row r="95" spans="1:2" x14ac:dyDescent="0.55000000000000004">
      <c r="A95" t="s">
        <v>1669</v>
      </c>
      <c r="B95" t="s">
        <v>1954</v>
      </c>
    </row>
    <row r="96" spans="1:2" x14ac:dyDescent="0.55000000000000004">
      <c r="A96" t="s">
        <v>1671</v>
      </c>
      <c r="B96" t="s">
        <v>1955</v>
      </c>
    </row>
    <row r="97" spans="1:2" x14ac:dyDescent="0.55000000000000004">
      <c r="A97" t="s">
        <v>1673</v>
      </c>
      <c r="B97" t="s">
        <v>1956</v>
      </c>
    </row>
    <row r="98" spans="1:2" x14ac:dyDescent="0.55000000000000004">
      <c r="A98" t="s">
        <v>1675</v>
      </c>
      <c r="B98" t="s">
        <v>1957</v>
      </c>
    </row>
    <row r="99" spans="1:2" x14ac:dyDescent="0.55000000000000004">
      <c r="A99" t="s">
        <v>1677</v>
      </c>
      <c r="B99" t="s">
        <v>1958</v>
      </c>
    </row>
    <row r="100" spans="1:2" x14ac:dyDescent="0.55000000000000004">
      <c r="A100" t="s">
        <v>1679</v>
      </c>
      <c r="B100" t="s">
        <v>1959</v>
      </c>
    </row>
    <row r="101" spans="1:2" x14ac:dyDescent="0.55000000000000004">
      <c r="A101" t="s">
        <v>1681</v>
      </c>
      <c r="B101" t="s">
        <v>1960</v>
      </c>
    </row>
    <row r="102" spans="1:2" x14ac:dyDescent="0.55000000000000004">
      <c r="A102" t="s">
        <v>1683</v>
      </c>
      <c r="B102" t="s">
        <v>1961</v>
      </c>
    </row>
    <row r="103" spans="1:2" x14ac:dyDescent="0.55000000000000004">
      <c r="A103" t="s">
        <v>1685</v>
      </c>
      <c r="B103" t="s">
        <v>1962</v>
      </c>
    </row>
    <row r="104" spans="1:2" x14ac:dyDescent="0.55000000000000004">
      <c r="A104" s="10" t="s">
        <v>1714</v>
      </c>
      <c r="B104" t="s">
        <v>1963</v>
      </c>
    </row>
    <row r="105" spans="1:2" x14ac:dyDescent="0.55000000000000004">
      <c r="A105" s="10" t="s">
        <v>1715</v>
      </c>
      <c r="B105" t="s">
        <v>1964</v>
      </c>
    </row>
    <row r="106" spans="1:2" x14ac:dyDescent="0.55000000000000004">
      <c r="A106" s="10" t="s">
        <v>1716</v>
      </c>
      <c r="B106" t="s">
        <v>1965</v>
      </c>
    </row>
    <row r="107" spans="1:2" x14ac:dyDescent="0.55000000000000004">
      <c r="A107" s="10" t="s">
        <v>1717</v>
      </c>
      <c r="B107" t="s">
        <v>1966</v>
      </c>
    </row>
    <row r="108" spans="1:2" x14ac:dyDescent="0.55000000000000004">
      <c r="A108" s="10" t="s">
        <v>1718</v>
      </c>
      <c r="B108" t="s">
        <v>1967</v>
      </c>
    </row>
    <row r="109" spans="1:2" x14ac:dyDescent="0.55000000000000004">
      <c r="A109" s="10" t="s">
        <v>1719</v>
      </c>
      <c r="B109" t="s">
        <v>1968</v>
      </c>
    </row>
    <row r="110" spans="1:2" x14ac:dyDescent="0.55000000000000004">
      <c r="A110" s="10" t="s">
        <v>1720</v>
      </c>
      <c r="B110" t="s">
        <v>1969</v>
      </c>
    </row>
    <row r="111" spans="1:2" x14ac:dyDescent="0.55000000000000004">
      <c r="A111" s="10" t="s">
        <v>1721</v>
      </c>
      <c r="B111" t="s">
        <v>1970</v>
      </c>
    </row>
    <row r="112" spans="1:2" x14ac:dyDescent="0.55000000000000004">
      <c r="A112" s="10" t="s">
        <v>1722</v>
      </c>
      <c r="B112" t="s">
        <v>1971</v>
      </c>
    </row>
    <row r="113" spans="1:2" x14ac:dyDescent="0.55000000000000004">
      <c r="A113" s="10" t="s">
        <v>1723</v>
      </c>
      <c r="B113" t="s">
        <v>1972</v>
      </c>
    </row>
    <row r="114" spans="1:2" x14ac:dyDescent="0.55000000000000004">
      <c r="A114" s="10" t="s">
        <v>1724</v>
      </c>
      <c r="B114" t="s">
        <v>1973</v>
      </c>
    </row>
    <row r="115" spans="1:2" x14ac:dyDescent="0.55000000000000004">
      <c r="A115" s="10" t="s">
        <v>1725</v>
      </c>
      <c r="B115" t="s">
        <v>1974</v>
      </c>
    </row>
    <row r="116" spans="1:2" x14ac:dyDescent="0.55000000000000004">
      <c r="A116" s="10" t="s">
        <v>1726</v>
      </c>
      <c r="B116" t="s">
        <v>1975</v>
      </c>
    </row>
    <row r="117" spans="1:2" x14ac:dyDescent="0.55000000000000004">
      <c r="A117" s="10" t="s">
        <v>1727</v>
      </c>
      <c r="B117" t="s">
        <v>1976</v>
      </c>
    </row>
    <row r="118" spans="1:2" x14ac:dyDescent="0.55000000000000004">
      <c r="A118" s="10" t="s">
        <v>1728</v>
      </c>
      <c r="B118" t="s">
        <v>1977</v>
      </c>
    </row>
    <row r="119" spans="1:2" x14ac:dyDescent="0.55000000000000004">
      <c r="A119" s="10" t="s">
        <v>1729</v>
      </c>
      <c r="B119" t="s">
        <v>1978</v>
      </c>
    </row>
    <row r="120" spans="1:2" x14ac:dyDescent="0.55000000000000004">
      <c r="A120" s="10" t="s">
        <v>1730</v>
      </c>
      <c r="B120" t="s">
        <v>1979</v>
      </c>
    </row>
    <row r="121" spans="1:2" x14ac:dyDescent="0.55000000000000004">
      <c r="A121" s="10" t="s">
        <v>1731</v>
      </c>
      <c r="B121" t="s">
        <v>1980</v>
      </c>
    </row>
    <row r="122" spans="1:2" x14ac:dyDescent="0.55000000000000004">
      <c r="A122" s="10" t="s">
        <v>1732</v>
      </c>
      <c r="B122" t="s">
        <v>1981</v>
      </c>
    </row>
    <row r="123" spans="1:2" x14ac:dyDescent="0.55000000000000004">
      <c r="A123" s="10" t="s">
        <v>1733</v>
      </c>
      <c r="B123" t="s">
        <v>1982</v>
      </c>
    </row>
    <row r="124" spans="1:2" x14ac:dyDescent="0.55000000000000004">
      <c r="A124" s="10" t="s">
        <v>1734</v>
      </c>
      <c r="B124" t="s">
        <v>1983</v>
      </c>
    </row>
    <row r="125" spans="1:2" x14ac:dyDescent="0.55000000000000004">
      <c r="A125" s="10" t="s">
        <v>1735</v>
      </c>
      <c r="B125" t="s">
        <v>1984</v>
      </c>
    </row>
    <row r="126" spans="1:2" x14ac:dyDescent="0.55000000000000004">
      <c r="A126" s="10" t="s">
        <v>1736</v>
      </c>
      <c r="B126" t="s">
        <v>1985</v>
      </c>
    </row>
    <row r="127" spans="1:2" x14ac:dyDescent="0.55000000000000004">
      <c r="A127" s="10" t="s">
        <v>1737</v>
      </c>
      <c r="B127" t="s">
        <v>1986</v>
      </c>
    </row>
    <row r="128" spans="1:2" x14ac:dyDescent="0.55000000000000004">
      <c r="A128" s="10" t="s">
        <v>1738</v>
      </c>
      <c r="B128" t="s">
        <v>1987</v>
      </c>
    </row>
    <row r="129" spans="1:2" x14ac:dyDescent="0.55000000000000004">
      <c r="A129" s="10" t="s">
        <v>1739</v>
      </c>
      <c r="B129" t="s">
        <v>1988</v>
      </c>
    </row>
    <row r="130" spans="1:2" x14ac:dyDescent="0.55000000000000004">
      <c r="A130" s="10" t="s">
        <v>1740</v>
      </c>
      <c r="B130" t="s">
        <v>1989</v>
      </c>
    </row>
    <row r="131" spans="1:2" x14ac:dyDescent="0.55000000000000004">
      <c r="A131" s="10" t="s">
        <v>1741</v>
      </c>
      <c r="B131" t="s">
        <v>1990</v>
      </c>
    </row>
    <row r="132" spans="1:2" x14ac:dyDescent="0.55000000000000004">
      <c r="A132" s="10" t="s">
        <v>1742</v>
      </c>
      <c r="B132" t="s">
        <v>1991</v>
      </c>
    </row>
    <row r="133" spans="1:2" x14ac:dyDescent="0.55000000000000004">
      <c r="A133" s="10" t="s">
        <v>1743</v>
      </c>
      <c r="B133" t="s">
        <v>1992</v>
      </c>
    </row>
    <row r="134" spans="1:2" x14ac:dyDescent="0.55000000000000004">
      <c r="A134" s="10" t="s">
        <v>1744</v>
      </c>
      <c r="B134" t="s">
        <v>1993</v>
      </c>
    </row>
    <row r="135" spans="1:2" x14ac:dyDescent="0.55000000000000004">
      <c r="A135" s="10" t="s">
        <v>1745</v>
      </c>
      <c r="B135" t="s">
        <v>1994</v>
      </c>
    </row>
    <row r="136" spans="1:2" x14ac:dyDescent="0.55000000000000004">
      <c r="A136" s="10" t="s">
        <v>1746</v>
      </c>
      <c r="B136" t="s">
        <v>1995</v>
      </c>
    </row>
    <row r="137" spans="1:2" x14ac:dyDescent="0.55000000000000004">
      <c r="A137" s="10" t="s">
        <v>1747</v>
      </c>
      <c r="B137" t="s">
        <v>1996</v>
      </c>
    </row>
    <row r="138" spans="1:2" x14ac:dyDescent="0.55000000000000004">
      <c r="A138" s="10" t="s">
        <v>1748</v>
      </c>
      <c r="B138" t="s">
        <v>1997</v>
      </c>
    </row>
    <row r="139" spans="1:2" x14ac:dyDescent="0.55000000000000004">
      <c r="A139" s="10" t="s">
        <v>1749</v>
      </c>
      <c r="B139" t="s">
        <v>1998</v>
      </c>
    </row>
    <row r="140" spans="1:2" x14ac:dyDescent="0.55000000000000004">
      <c r="A140" s="10" t="s">
        <v>1750</v>
      </c>
      <c r="B140" t="s">
        <v>1999</v>
      </c>
    </row>
    <row r="141" spans="1:2" x14ac:dyDescent="0.55000000000000004">
      <c r="A141" s="10" t="s">
        <v>1751</v>
      </c>
      <c r="B141" t="s">
        <v>2000</v>
      </c>
    </row>
    <row r="142" spans="1:2" x14ac:dyDescent="0.55000000000000004">
      <c r="A142" s="10" t="s">
        <v>1752</v>
      </c>
      <c r="B142" t="s">
        <v>2001</v>
      </c>
    </row>
    <row r="143" spans="1:2" x14ac:dyDescent="0.55000000000000004">
      <c r="A143" s="10" t="s">
        <v>1753</v>
      </c>
      <c r="B143" t="s">
        <v>2002</v>
      </c>
    </row>
    <row r="144" spans="1:2" x14ac:dyDescent="0.55000000000000004">
      <c r="A144" s="10" t="s">
        <v>1754</v>
      </c>
      <c r="B144" t="s">
        <v>2003</v>
      </c>
    </row>
    <row r="145" spans="1:2" x14ac:dyDescent="0.55000000000000004">
      <c r="A145" s="10" t="s">
        <v>1755</v>
      </c>
      <c r="B145" t="s">
        <v>2004</v>
      </c>
    </row>
    <row r="146" spans="1:2" x14ac:dyDescent="0.55000000000000004">
      <c r="A146" s="10" t="s">
        <v>1756</v>
      </c>
      <c r="B146" t="s">
        <v>2005</v>
      </c>
    </row>
    <row r="147" spans="1:2" x14ac:dyDescent="0.55000000000000004">
      <c r="A147" s="10" t="s">
        <v>1757</v>
      </c>
      <c r="B147" t="s">
        <v>2006</v>
      </c>
    </row>
    <row r="148" spans="1:2" x14ac:dyDescent="0.55000000000000004">
      <c r="A148" s="10" t="s">
        <v>1758</v>
      </c>
      <c r="B148" t="s">
        <v>2007</v>
      </c>
    </row>
    <row r="149" spans="1:2" x14ac:dyDescent="0.55000000000000004">
      <c r="A149" s="10" t="s">
        <v>1759</v>
      </c>
      <c r="B149" t="s">
        <v>2008</v>
      </c>
    </row>
    <row r="150" spans="1:2" x14ac:dyDescent="0.55000000000000004">
      <c r="A150" s="10" t="s">
        <v>1760</v>
      </c>
      <c r="B150" t="s">
        <v>2009</v>
      </c>
    </row>
    <row r="151" spans="1:2" x14ac:dyDescent="0.55000000000000004">
      <c r="A151" s="10" t="s">
        <v>1761</v>
      </c>
      <c r="B151" t="s">
        <v>2010</v>
      </c>
    </row>
    <row r="152" spans="1:2" x14ac:dyDescent="0.55000000000000004">
      <c r="A152" t="s">
        <v>1762</v>
      </c>
      <c r="B152" t="s">
        <v>2011</v>
      </c>
    </row>
    <row r="153" spans="1:2" x14ac:dyDescent="0.55000000000000004">
      <c r="A153" t="s">
        <v>1763</v>
      </c>
      <c r="B153" t="s">
        <v>2012</v>
      </c>
    </row>
    <row r="154" spans="1:2" x14ac:dyDescent="0.55000000000000004">
      <c r="A154" t="s">
        <v>1764</v>
      </c>
      <c r="B154" t="s">
        <v>2013</v>
      </c>
    </row>
    <row r="155" spans="1:2" x14ac:dyDescent="0.55000000000000004">
      <c r="A155" t="s">
        <v>1765</v>
      </c>
      <c r="B155" t="s">
        <v>2014</v>
      </c>
    </row>
    <row r="156" spans="1:2" x14ac:dyDescent="0.55000000000000004">
      <c r="A156" t="s">
        <v>1766</v>
      </c>
      <c r="B156" t="s">
        <v>2015</v>
      </c>
    </row>
    <row r="157" spans="1:2" x14ac:dyDescent="0.55000000000000004">
      <c r="A157" t="s">
        <v>1767</v>
      </c>
      <c r="B157" t="s">
        <v>2016</v>
      </c>
    </row>
    <row r="158" spans="1:2" x14ac:dyDescent="0.55000000000000004">
      <c r="A158" t="s">
        <v>1768</v>
      </c>
      <c r="B158" t="s">
        <v>2017</v>
      </c>
    </row>
    <row r="159" spans="1:2" x14ac:dyDescent="0.55000000000000004">
      <c r="A159" t="s">
        <v>1769</v>
      </c>
      <c r="B159" t="s">
        <v>2018</v>
      </c>
    </row>
    <row r="160" spans="1:2" x14ac:dyDescent="0.55000000000000004">
      <c r="A160" t="s">
        <v>1770</v>
      </c>
      <c r="B160" t="s">
        <v>2019</v>
      </c>
    </row>
    <row r="161" spans="1:2" x14ac:dyDescent="0.55000000000000004">
      <c r="A161" t="s">
        <v>1771</v>
      </c>
      <c r="B161" t="s">
        <v>2020</v>
      </c>
    </row>
    <row r="162" spans="1:2" x14ac:dyDescent="0.55000000000000004">
      <c r="A162" t="s">
        <v>1772</v>
      </c>
      <c r="B162" t="s">
        <v>2021</v>
      </c>
    </row>
    <row r="163" spans="1:2" x14ac:dyDescent="0.55000000000000004">
      <c r="A163" t="s">
        <v>1773</v>
      </c>
      <c r="B163" t="s">
        <v>2022</v>
      </c>
    </row>
    <row r="164" spans="1:2" x14ac:dyDescent="0.55000000000000004">
      <c r="A164" t="s">
        <v>1774</v>
      </c>
      <c r="B164" t="s">
        <v>2023</v>
      </c>
    </row>
    <row r="165" spans="1:2" x14ac:dyDescent="0.55000000000000004">
      <c r="A165" t="s">
        <v>1775</v>
      </c>
      <c r="B165" t="s">
        <v>2024</v>
      </c>
    </row>
    <row r="166" spans="1:2" x14ac:dyDescent="0.55000000000000004">
      <c r="A166" t="s">
        <v>1776</v>
      </c>
      <c r="B166" t="s">
        <v>2025</v>
      </c>
    </row>
    <row r="167" spans="1:2" x14ac:dyDescent="0.55000000000000004">
      <c r="A167" t="s">
        <v>1777</v>
      </c>
      <c r="B167" t="s">
        <v>2026</v>
      </c>
    </row>
    <row r="168" spans="1:2" x14ac:dyDescent="0.55000000000000004">
      <c r="A168" t="s">
        <v>1778</v>
      </c>
      <c r="B168" t="s">
        <v>2027</v>
      </c>
    </row>
    <row r="169" spans="1:2" x14ac:dyDescent="0.55000000000000004">
      <c r="A169" t="s">
        <v>1779</v>
      </c>
      <c r="B169" t="s">
        <v>2028</v>
      </c>
    </row>
    <row r="170" spans="1:2" x14ac:dyDescent="0.55000000000000004">
      <c r="A170" t="s">
        <v>1780</v>
      </c>
      <c r="B170" t="s">
        <v>2029</v>
      </c>
    </row>
    <row r="171" spans="1:2" x14ac:dyDescent="0.55000000000000004">
      <c r="A171" t="s">
        <v>1781</v>
      </c>
      <c r="B171" t="s">
        <v>2030</v>
      </c>
    </row>
    <row r="172" spans="1:2" x14ac:dyDescent="0.55000000000000004">
      <c r="A172" t="s">
        <v>1782</v>
      </c>
      <c r="B172" t="s">
        <v>2031</v>
      </c>
    </row>
    <row r="173" spans="1:2" x14ac:dyDescent="0.55000000000000004">
      <c r="A173" t="s">
        <v>1783</v>
      </c>
      <c r="B173" t="s">
        <v>2032</v>
      </c>
    </row>
    <row r="174" spans="1:2" x14ac:dyDescent="0.55000000000000004">
      <c r="A174" t="s">
        <v>1784</v>
      </c>
      <c r="B174" t="s">
        <v>2033</v>
      </c>
    </row>
    <row r="175" spans="1:2" x14ac:dyDescent="0.55000000000000004">
      <c r="A175" t="s">
        <v>1785</v>
      </c>
      <c r="B175" t="s">
        <v>2034</v>
      </c>
    </row>
    <row r="176" spans="1:2" x14ac:dyDescent="0.55000000000000004">
      <c r="A176" t="s">
        <v>1786</v>
      </c>
      <c r="B176" t="s">
        <v>2035</v>
      </c>
    </row>
    <row r="177" spans="1:2" x14ac:dyDescent="0.55000000000000004">
      <c r="A177" t="s">
        <v>1787</v>
      </c>
      <c r="B177" t="s">
        <v>2036</v>
      </c>
    </row>
    <row r="178" spans="1:2" x14ac:dyDescent="0.55000000000000004">
      <c r="A178" t="s">
        <v>1788</v>
      </c>
      <c r="B178" t="s">
        <v>2037</v>
      </c>
    </row>
    <row r="179" spans="1:2" x14ac:dyDescent="0.55000000000000004">
      <c r="A179" t="s">
        <v>1789</v>
      </c>
      <c r="B179" t="s">
        <v>2038</v>
      </c>
    </row>
    <row r="180" spans="1:2" x14ac:dyDescent="0.55000000000000004">
      <c r="A180" t="s">
        <v>1790</v>
      </c>
      <c r="B180" t="s">
        <v>2039</v>
      </c>
    </row>
    <row r="181" spans="1:2" x14ac:dyDescent="0.55000000000000004">
      <c r="A181" t="s">
        <v>1791</v>
      </c>
      <c r="B181" t="s">
        <v>2040</v>
      </c>
    </row>
    <row r="182" spans="1:2" x14ac:dyDescent="0.55000000000000004">
      <c r="A182" t="s">
        <v>1792</v>
      </c>
      <c r="B182" t="s">
        <v>2041</v>
      </c>
    </row>
    <row r="183" spans="1:2" x14ac:dyDescent="0.55000000000000004">
      <c r="A183" t="s">
        <v>1793</v>
      </c>
      <c r="B183" t="s">
        <v>2042</v>
      </c>
    </row>
    <row r="184" spans="1:2" x14ac:dyDescent="0.55000000000000004">
      <c r="A184" t="s">
        <v>1794</v>
      </c>
      <c r="B184" t="s">
        <v>2043</v>
      </c>
    </row>
    <row r="185" spans="1:2" x14ac:dyDescent="0.55000000000000004">
      <c r="A185" t="s">
        <v>1795</v>
      </c>
      <c r="B185" t="s">
        <v>2044</v>
      </c>
    </row>
    <row r="186" spans="1:2" x14ac:dyDescent="0.55000000000000004">
      <c r="A186" t="s">
        <v>1796</v>
      </c>
      <c r="B186" t="s">
        <v>2045</v>
      </c>
    </row>
    <row r="187" spans="1:2" x14ac:dyDescent="0.55000000000000004">
      <c r="A187" t="s">
        <v>1797</v>
      </c>
      <c r="B187" t="s">
        <v>2046</v>
      </c>
    </row>
    <row r="188" spans="1:2" x14ac:dyDescent="0.55000000000000004">
      <c r="A188" t="s">
        <v>1798</v>
      </c>
      <c r="B188" t="s">
        <v>2047</v>
      </c>
    </row>
    <row r="189" spans="1:2" x14ac:dyDescent="0.55000000000000004">
      <c r="A189" t="s">
        <v>1799</v>
      </c>
      <c r="B189" t="s">
        <v>2048</v>
      </c>
    </row>
    <row r="190" spans="1:2" x14ac:dyDescent="0.55000000000000004">
      <c r="A190" t="s">
        <v>1800</v>
      </c>
      <c r="B190" t="s">
        <v>2049</v>
      </c>
    </row>
    <row r="191" spans="1:2" x14ac:dyDescent="0.55000000000000004">
      <c r="A191" t="s">
        <v>1801</v>
      </c>
      <c r="B191" t="s">
        <v>2050</v>
      </c>
    </row>
    <row r="192" spans="1:2" x14ac:dyDescent="0.55000000000000004">
      <c r="A192" t="s">
        <v>1802</v>
      </c>
      <c r="B192" t="s">
        <v>2051</v>
      </c>
    </row>
    <row r="193" spans="1:2" x14ac:dyDescent="0.55000000000000004">
      <c r="A193" t="s">
        <v>1803</v>
      </c>
      <c r="B193" t="s">
        <v>2052</v>
      </c>
    </row>
    <row r="194" spans="1:2" x14ac:dyDescent="0.55000000000000004">
      <c r="A194" t="s">
        <v>1804</v>
      </c>
      <c r="B194" t="s">
        <v>2053</v>
      </c>
    </row>
    <row r="195" spans="1:2" x14ac:dyDescent="0.55000000000000004">
      <c r="A195" t="s">
        <v>1805</v>
      </c>
      <c r="B195" t="s">
        <v>2054</v>
      </c>
    </row>
    <row r="196" spans="1:2" x14ac:dyDescent="0.55000000000000004">
      <c r="A196" t="s">
        <v>1806</v>
      </c>
      <c r="B196" t="s">
        <v>2055</v>
      </c>
    </row>
    <row r="197" spans="1:2" x14ac:dyDescent="0.55000000000000004">
      <c r="A197" t="s">
        <v>1807</v>
      </c>
      <c r="B197" t="s">
        <v>2056</v>
      </c>
    </row>
    <row r="198" spans="1:2" x14ac:dyDescent="0.55000000000000004">
      <c r="A198" t="s">
        <v>1808</v>
      </c>
      <c r="B198" t="s">
        <v>2057</v>
      </c>
    </row>
    <row r="199" spans="1:2" x14ac:dyDescent="0.55000000000000004">
      <c r="A199" t="s">
        <v>1809</v>
      </c>
      <c r="B199" t="s">
        <v>2058</v>
      </c>
    </row>
    <row r="200" spans="1:2" x14ac:dyDescent="0.55000000000000004">
      <c r="A200" t="s">
        <v>1810</v>
      </c>
      <c r="B200" t="s">
        <v>2059</v>
      </c>
    </row>
    <row r="201" spans="1:2" x14ac:dyDescent="0.55000000000000004">
      <c r="A201" t="s">
        <v>1811</v>
      </c>
      <c r="B201" t="s">
        <v>2060</v>
      </c>
    </row>
    <row r="202" spans="1:2" x14ac:dyDescent="0.55000000000000004">
      <c r="A202" t="s">
        <v>1812</v>
      </c>
      <c r="B202" t="s">
        <v>2061</v>
      </c>
    </row>
    <row r="203" spans="1:2" x14ac:dyDescent="0.55000000000000004">
      <c r="A203" t="s">
        <v>1813</v>
      </c>
      <c r="B203" t="s">
        <v>2062</v>
      </c>
    </row>
    <row r="204" spans="1:2" x14ac:dyDescent="0.55000000000000004">
      <c r="A204" t="s">
        <v>1814</v>
      </c>
      <c r="B204" t="s">
        <v>2063</v>
      </c>
    </row>
    <row r="205" spans="1:2" x14ac:dyDescent="0.55000000000000004">
      <c r="A205" t="s">
        <v>1815</v>
      </c>
      <c r="B205" t="s">
        <v>2064</v>
      </c>
    </row>
    <row r="206" spans="1:2" x14ac:dyDescent="0.55000000000000004">
      <c r="A206" t="s">
        <v>1816</v>
      </c>
      <c r="B206" t="s">
        <v>2065</v>
      </c>
    </row>
    <row r="207" spans="1:2" x14ac:dyDescent="0.55000000000000004">
      <c r="A207" t="s">
        <v>1817</v>
      </c>
      <c r="B207" t="s">
        <v>2066</v>
      </c>
    </row>
    <row r="208" spans="1:2" x14ac:dyDescent="0.55000000000000004">
      <c r="A208" t="s">
        <v>1818</v>
      </c>
      <c r="B208" t="s">
        <v>2067</v>
      </c>
    </row>
    <row r="209" spans="1:2" x14ac:dyDescent="0.55000000000000004">
      <c r="A209" t="s">
        <v>1819</v>
      </c>
      <c r="B209" t="s">
        <v>2068</v>
      </c>
    </row>
    <row r="210" spans="1:2" x14ac:dyDescent="0.55000000000000004">
      <c r="A210" t="s">
        <v>1820</v>
      </c>
      <c r="B210" t="s">
        <v>2069</v>
      </c>
    </row>
    <row r="211" spans="1:2" x14ac:dyDescent="0.55000000000000004">
      <c r="A211" t="s">
        <v>1821</v>
      </c>
      <c r="B211" t="s">
        <v>2070</v>
      </c>
    </row>
    <row r="212" spans="1:2" x14ac:dyDescent="0.55000000000000004">
      <c r="A212" t="s">
        <v>1822</v>
      </c>
      <c r="B212" t="s">
        <v>2071</v>
      </c>
    </row>
    <row r="213" spans="1:2" x14ac:dyDescent="0.55000000000000004">
      <c r="A213" t="s">
        <v>1823</v>
      </c>
      <c r="B213" t="s">
        <v>2072</v>
      </c>
    </row>
    <row r="214" spans="1:2" x14ac:dyDescent="0.55000000000000004">
      <c r="A214" t="s">
        <v>1824</v>
      </c>
      <c r="B214" t="s">
        <v>2073</v>
      </c>
    </row>
    <row r="215" spans="1:2" x14ac:dyDescent="0.55000000000000004">
      <c r="A215" t="s">
        <v>1825</v>
      </c>
      <c r="B215" t="s">
        <v>2074</v>
      </c>
    </row>
    <row r="216" spans="1:2" x14ac:dyDescent="0.55000000000000004">
      <c r="A216" t="s">
        <v>1826</v>
      </c>
      <c r="B216" t="s">
        <v>2075</v>
      </c>
    </row>
    <row r="217" spans="1:2" x14ac:dyDescent="0.55000000000000004">
      <c r="A217" t="s">
        <v>1827</v>
      </c>
      <c r="B217" t="s">
        <v>2076</v>
      </c>
    </row>
    <row r="218" spans="1:2" x14ac:dyDescent="0.55000000000000004">
      <c r="A218" t="s">
        <v>1828</v>
      </c>
      <c r="B218" t="s">
        <v>2077</v>
      </c>
    </row>
    <row r="219" spans="1:2" x14ac:dyDescent="0.55000000000000004">
      <c r="A219" t="s">
        <v>1829</v>
      </c>
      <c r="B219" t="s">
        <v>2078</v>
      </c>
    </row>
    <row r="220" spans="1:2" x14ac:dyDescent="0.55000000000000004">
      <c r="A220" t="s">
        <v>1830</v>
      </c>
      <c r="B220" t="s">
        <v>2079</v>
      </c>
    </row>
    <row r="221" spans="1:2" x14ac:dyDescent="0.55000000000000004">
      <c r="A221" t="s">
        <v>1831</v>
      </c>
      <c r="B221" t="s">
        <v>2080</v>
      </c>
    </row>
    <row r="222" spans="1:2" x14ac:dyDescent="0.55000000000000004">
      <c r="A222" t="s">
        <v>1832</v>
      </c>
      <c r="B222" t="s">
        <v>2081</v>
      </c>
    </row>
    <row r="223" spans="1:2" x14ac:dyDescent="0.55000000000000004">
      <c r="A223" t="s">
        <v>1833</v>
      </c>
      <c r="B223" t="s">
        <v>2082</v>
      </c>
    </row>
    <row r="224" spans="1:2" x14ac:dyDescent="0.55000000000000004">
      <c r="A224" t="s">
        <v>1834</v>
      </c>
      <c r="B224" t="s">
        <v>2083</v>
      </c>
    </row>
    <row r="225" spans="1:2" x14ac:dyDescent="0.55000000000000004">
      <c r="A225" t="s">
        <v>1835</v>
      </c>
      <c r="B225" t="s">
        <v>2084</v>
      </c>
    </row>
    <row r="226" spans="1:2" x14ac:dyDescent="0.55000000000000004">
      <c r="A226" t="s">
        <v>1836</v>
      </c>
      <c r="B226" t="s">
        <v>2085</v>
      </c>
    </row>
    <row r="227" spans="1:2" x14ac:dyDescent="0.55000000000000004">
      <c r="A227" t="s">
        <v>1837</v>
      </c>
      <c r="B227" t="s">
        <v>2086</v>
      </c>
    </row>
    <row r="228" spans="1:2" x14ac:dyDescent="0.55000000000000004">
      <c r="A228" t="s">
        <v>1838</v>
      </c>
      <c r="B228" t="s">
        <v>2087</v>
      </c>
    </row>
    <row r="229" spans="1:2" x14ac:dyDescent="0.55000000000000004">
      <c r="A229" t="s">
        <v>1839</v>
      </c>
      <c r="B229" t="s">
        <v>2088</v>
      </c>
    </row>
    <row r="230" spans="1:2" x14ac:dyDescent="0.55000000000000004">
      <c r="A230" t="s">
        <v>1840</v>
      </c>
      <c r="B230" t="s">
        <v>2089</v>
      </c>
    </row>
    <row r="231" spans="1:2" x14ac:dyDescent="0.55000000000000004">
      <c r="A231" t="s">
        <v>1841</v>
      </c>
      <c r="B231" t="s">
        <v>2090</v>
      </c>
    </row>
    <row r="232" spans="1:2" x14ac:dyDescent="0.55000000000000004">
      <c r="A232" t="s">
        <v>1842</v>
      </c>
      <c r="B232" t="s">
        <v>2091</v>
      </c>
    </row>
    <row r="233" spans="1:2" x14ac:dyDescent="0.55000000000000004">
      <c r="A233" t="s">
        <v>1843</v>
      </c>
      <c r="B233" t="s">
        <v>2092</v>
      </c>
    </row>
    <row r="234" spans="1:2" x14ac:dyDescent="0.55000000000000004">
      <c r="A234" t="s">
        <v>1844</v>
      </c>
      <c r="B234" t="s">
        <v>2093</v>
      </c>
    </row>
    <row r="235" spans="1:2" x14ac:dyDescent="0.55000000000000004">
      <c r="A235" t="s">
        <v>1845</v>
      </c>
      <c r="B235" t="s">
        <v>2094</v>
      </c>
    </row>
    <row r="236" spans="1:2" x14ac:dyDescent="0.55000000000000004">
      <c r="A236" t="s">
        <v>1846</v>
      </c>
      <c r="B236" t="s">
        <v>2095</v>
      </c>
    </row>
    <row r="237" spans="1:2" x14ac:dyDescent="0.55000000000000004">
      <c r="A237" t="s">
        <v>1847</v>
      </c>
      <c r="B237" t="s">
        <v>2096</v>
      </c>
    </row>
    <row r="238" spans="1:2" x14ac:dyDescent="0.55000000000000004">
      <c r="A238" t="s">
        <v>1848</v>
      </c>
      <c r="B238" t="s">
        <v>2097</v>
      </c>
    </row>
    <row r="239" spans="1:2" x14ac:dyDescent="0.55000000000000004">
      <c r="A239" t="s">
        <v>1849</v>
      </c>
      <c r="B239" t="s">
        <v>2098</v>
      </c>
    </row>
    <row r="240" spans="1:2" x14ac:dyDescent="0.55000000000000004">
      <c r="A240" t="s">
        <v>1850</v>
      </c>
      <c r="B240" t="s">
        <v>2099</v>
      </c>
    </row>
    <row r="241" spans="1:2" x14ac:dyDescent="0.55000000000000004">
      <c r="A241" t="s">
        <v>1851</v>
      </c>
      <c r="B241" t="s">
        <v>2100</v>
      </c>
    </row>
    <row r="242" spans="1:2" x14ac:dyDescent="0.55000000000000004">
      <c r="A242" t="s">
        <v>1852</v>
      </c>
      <c r="B242" t="s">
        <v>2101</v>
      </c>
    </row>
    <row r="243" spans="1:2" x14ac:dyDescent="0.55000000000000004">
      <c r="A243" t="s">
        <v>1853</v>
      </c>
      <c r="B243" t="s">
        <v>2102</v>
      </c>
    </row>
    <row r="244" spans="1:2" x14ac:dyDescent="0.55000000000000004">
      <c r="A244" t="s">
        <v>1854</v>
      </c>
      <c r="B244" t="s">
        <v>2103</v>
      </c>
    </row>
    <row r="245" spans="1:2" x14ac:dyDescent="0.55000000000000004">
      <c r="A245" t="s">
        <v>1855</v>
      </c>
      <c r="B245" t="s">
        <v>2104</v>
      </c>
    </row>
    <row r="246" spans="1:2" x14ac:dyDescent="0.55000000000000004">
      <c r="A246" t="s">
        <v>1856</v>
      </c>
      <c r="B246" t="s">
        <v>2105</v>
      </c>
    </row>
    <row r="247" spans="1:2" x14ac:dyDescent="0.55000000000000004">
      <c r="A247" t="s">
        <v>1857</v>
      </c>
      <c r="B247" t="s">
        <v>2106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1BED-295D-49C1-BC3C-97DEBB453514}">
  <dimension ref="A1:B89"/>
  <sheetViews>
    <sheetView zoomScale="85" zoomScaleNormal="85" workbookViewId="0">
      <selection activeCell="G20" sqref="G20"/>
    </sheetView>
  </sheetViews>
  <sheetFormatPr defaultRowHeight="14.4" x14ac:dyDescent="0.55000000000000004"/>
  <cols>
    <col min="1" max="1" width="16.15625" bestFit="1" customWidth="1"/>
    <col min="2" max="2" width="31.15625" bestFit="1" customWidth="1"/>
  </cols>
  <sheetData>
    <row r="1" spans="1:2" x14ac:dyDescent="0.55000000000000004">
      <c r="A1" t="s">
        <v>36</v>
      </c>
      <c r="B1" t="s">
        <v>1</v>
      </c>
    </row>
    <row r="2" spans="1:2" x14ac:dyDescent="0.55000000000000004">
      <c r="A2" t="s">
        <v>1435</v>
      </c>
      <c r="B2" t="s">
        <v>1436</v>
      </c>
    </row>
    <row r="3" spans="1:2" x14ac:dyDescent="0.55000000000000004">
      <c r="A3" t="s">
        <v>1437</v>
      </c>
      <c r="B3" t="s">
        <v>1438</v>
      </c>
    </row>
    <row r="4" spans="1:2" x14ac:dyDescent="0.55000000000000004">
      <c r="A4" t="s">
        <v>1439</v>
      </c>
      <c r="B4" t="s">
        <v>1440</v>
      </c>
    </row>
    <row r="5" spans="1:2" x14ac:dyDescent="0.55000000000000004">
      <c r="A5" t="s">
        <v>1441</v>
      </c>
      <c r="B5" t="s">
        <v>1442</v>
      </c>
    </row>
    <row r="6" spans="1:2" x14ac:dyDescent="0.55000000000000004">
      <c r="A6" t="s">
        <v>1443</v>
      </c>
      <c r="B6" t="s">
        <v>1444</v>
      </c>
    </row>
    <row r="7" spans="1:2" x14ac:dyDescent="0.55000000000000004">
      <c r="A7" t="s">
        <v>1445</v>
      </c>
      <c r="B7" t="s">
        <v>1446</v>
      </c>
    </row>
    <row r="8" spans="1:2" x14ac:dyDescent="0.55000000000000004">
      <c r="A8" t="s">
        <v>1447</v>
      </c>
      <c r="B8" t="s">
        <v>1448</v>
      </c>
    </row>
    <row r="9" spans="1:2" x14ac:dyDescent="0.55000000000000004">
      <c r="A9" t="s">
        <v>1449</v>
      </c>
      <c r="B9" t="s">
        <v>1450</v>
      </c>
    </row>
    <row r="10" spans="1:2" x14ac:dyDescent="0.55000000000000004">
      <c r="A10" t="s">
        <v>1451</v>
      </c>
      <c r="B10" t="s">
        <v>1452</v>
      </c>
    </row>
    <row r="11" spans="1:2" x14ac:dyDescent="0.55000000000000004">
      <c r="A11" t="s">
        <v>1453</v>
      </c>
      <c r="B11" t="s">
        <v>1454</v>
      </c>
    </row>
    <row r="12" spans="1:2" x14ac:dyDescent="0.55000000000000004">
      <c r="A12" t="s">
        <v>1455</v>
      </c>
      <c r="B12" t="s">
        <v>1456</v>
      </c>
    </row>
    <row r="13" spans="1:2" x14ac:dyDescent="0.55000000000000004">
      <c r="A13" t="s">
        <v>1457</v>
      </c>
      <c r="B13" t="s">
        <v>1458</v>
      </c>
    </row>
    <row r="14" spans="1:2" x14ac:dyDescent="0.55000000000000004">
      <c r="A14" t="s">
        <v>1459</v>
      </c>
      <c r="B14" t="s">
        <v>1460</v>
      </c>
    </row>
    <row r="15" spans="1:2" x14ac:dyDescent="0.55000000000000004">
      <c r="A15" t="s">
        <v>1461</v>
      </c>
      <c r="B15" t="s">
        <v>1462</v>
      </c>
    </row>
    <row r="16" spans="1:2" x14ac:dyDescent="0.55000000000000004">
      <c r="A16" t="s">
        <v>1463</v>
      </c>
      <c r="B16" t="s">
        <v>1464</v>
      </c>
    </row>
    <row r="17" spans="1:2" x14ac:dyDescent="0.55000000000000004">
      <c r="A17" t="s">
        <v>1465</v>
      </c>
      <c r="B17" t="s">
        <v>1466</v>
      </c>
    </row>
    <row r="18" spans="1:2" x14ac:dyDescent="0.55000000000000004">
      <c r="A18" t="s">
        <v>1467</v>
      </c>
      <c r="B18" t="s">
        <v>1468</v>
      </c>
    </row>
    <row r="19" spans="1:2" x14ac:dyDescent="0.55000000000000004">
      <c r="A19" t="s">
        <v>1469</v>
      </c>
      <c r="B19" t="s">
        <v>1470</v>
      </c>
    </row>
    <row r="20" spans="1:2" x14ac:dyDescent="0.55000000000000004">
      <c r="A20" t="s">
        <v>1471</v>
      </c>
      <c r="B20" t="s">
        <v>1472</v>
      </c>
    </row>
    <row r="21" spans="1:2" x14ac:dyDescent="0.55000000000000004">
      <c r="A21" t="s">
        <v>1473</v>
      </c>
      <c r="B21" t="s">
        <v>1474</v>
      </c>
    </row>
    <row r="22" spans="1:2" x14ac:dyDescent="0.55000000000000004">
      <c r="A22" t="s">
        <v>1475</v>
      </c>
      <c r="B22" t="s">
        <v>1476</v>
      </c>
    </row>
    <row r="23" spans="1:2" x14ac:dyDescent="0.55000000000000004">
      <c r="A23" t="s">
        <v>1477</v>
      </c>
      <c r="B23" t="s">
        <v>1478</v>
      </c>
    </row>
    <row r="24" spans="1:2" x14ac:dyDescent="0.55000000000000004">
      <c r="A24" t="s">
        <v>1479</v>
      </c>
      <c r="B24" t="s">
        <v>1480</v>
      </c>
    </row>
    <row r="25" spans="1:2" x14ac:dyDescent="0.55000000000000004">
      <c r="A25" t="s">
        <v>1481</v>
      </c>
      <c r="B25" t="s">
        <v>1482</v>
      </c>
    </row>
    <row r="26" spans="1:2" x14ac:dyDescent="0.55000000000000004">
      <c r="A26" t="s">
        <v>1483</v>
      </c>
      <c r="B26" t="s">
        <v>1484</v>
      </c>
    </row>
    <row r="27" spans="1:2" x14ac:dyDescent="0.55000000000000004">
      <c r="A27" t="s">
        <v>1485</v>
      </c>
      <c r="B27" t="s">
        <v>1486</v>
      </c>
    </row>
    <row r="28" spans="1:2" x14ac:dyDescent="0.55000000000000004">
      <c r="A28" t="s">
        <v>1487</v>
      </c>
      <c r="B28" t="s">
        <v>1488</v>
      </c>
    </row>
    <row r="29" spans="1:2" x14ac:dyDescent="0.55000000000000004">
      <c r="A29" t="s">
        <v>1489</v>
      </c>
      <c r="B29" t="s">
        <v>1490</v>
      </c>
    </row>
    <row r="30" spans="1:2" x14ac:dyDescent="0.55000000000000004">
      <c r="A30" t="s">
        <v>1491</v>
      </c>
      <c r="B30" t="s">
        <v>1492</v>
      </c>
    </row>
    <row r="31" spans="1:2" x14ac:dyDescent="0.55000000000000004">
      <c r="A31" t="s">
        <v>1493</v>
      </c>
      <c r="B31" t="s">
        <v>1494</v>
      </c>
    </row>
    <row r="32" spans="1:2" x14ac:dyDescent="0.55000000000000004">
      <c r="A32" t="s">
        <v>1495</v>
      </c>
      <c r="B32" t="s">
        <v>1496</v>
      </c>
    </row>
    <row r="33" spans="1:2" x14ac:dyDescent="0.55000000000000004">
      <c r="A33" t="s">
        <v>1497</v>
      </c>
      <c r="B33" t="s">
        <v>1498</v>
      </c>
    </row>
    <row r="34" spans="1:2" x14ac:dyDescent="0.55000000000000004">
      <c r="A34" t="s">
        <v>1499</v>
      </c>
      <c r="B34" t="s">
        <v>1500</v>
      </c>
    </row>
    <row r="35" spans="1:2" x14ac:dyDescent="0.55000000000000004">
      <c r="A35" t="s">
        <v>1501</v>
      </c>
      <c r="B35" t="s">
        <v>1502</v>
      </c>
    </row>
    <row r="36" spans="1:2" x14ac:dyDescent="0.55000000000000004">
      <c r="A36" t="s">
        <v>1503</v>
      </c>
      <c r="B36" t="s">
        <v>1504</v>
      </c>
    </row>
    <row r="37" spans="1:2" x14ac:dyDescent="0.55000000000000004">
      <c r="A37" t="s">
        <v>1505</v>
      </c>
      <c r="B37" t="s">
        <v>1506</v>
      </c>
    </row>
    <row r="38" spans="1:2" x14ac:dyDescent="0.55000000000000004">
      <c r="A38" t="s">
        <v>1507</v>
      </c>
      <c r="B38" t="s">
        <v>1508</v>
      </c>
    </row>
    <row r="39" spans="1:2" x14ac:dyDescent="0.55000000000000004">
      <c r="A39" t="s">
        <v>1509</v>
      </c>
      <c r="B39" t="s">
        <v>1510</v>
      </c>
    </row>
    <row r="40" spans="1:2" x14ac:dyDescent="0.55000000000000004">
      <c r="A40" t="s">
        <v>1511</v>
      </c>
      <c r="B40" t="s">
        <v>1512</v>
      </c>
    </row>
    <row r="41" spans="1:2" x14ac:dyDescent="0.55000000000000004">
      <c r="A41" t="s">
        <v>1513</v>
      </c>
      <c r="B41" t="s">
        <v>1514</v>
      </c>
    </row>
    <row r="42" spans="1:2" x14ac:dyDescent="0.55000000000000004">
      <c r="A42" t="s">
        <v>1515</v>
      </c>
      <c r="B42" t="s">
        <v>1516</v>
      </c>
    </row>
    <row r="43" spans="1:2" x14ac:dyDescent="0.55000000000000004">
      <c r="A43" t="s">
        <v>1517</v>
      </c>
      <c r="B43" t="s">
        <v>1518</v>
      </c>
    </row>
    <row r="44" spans="1:2" x14ac:dyDescent="0.55000000000000004">
      <c r="A44" t="s">
        <v>1519</v>
      </c>
      <c r="B44" t="s">
        <v>1520</v>
      </c>
    </row>
    <row r="45" spans="1:2" x14ac:dyDescent="0.55000000000000004">
      <c r="A45" t="s">
        <v>1521</v>
      </c>
      <c r="B45" t="s">
        <v>1522</v>
      </c>
    </row>
    <row r="46" spans="1:2" x14ac:dyDescent="0.55000000000000004">
      <c r="A46" t="s">
        <v>1523</v>
      </c>
      <c r="B46" t="s">
        <v>1524</v>
      </c>
    </row>
    <row r="47" spans="1:2" x14ac:dyDescent="0.55000000000000004">
      <c r="A47" t="s">
        <v>1525</v>
      </c>
      <c r="B47" t="s">
        <v>1526</v>
      </c>
    </row>
    <row r="48" spans="1:2" x14ac:dyDescent="0.55000000000000004">
      <c r="A48" t="s">
        <v>1527</v>
      </c>
      <c r="B48" t="s">
        <v>1528</v>
      </c>
    </row>
    <row r="49" spans="1:2" x14ac:dyDescent="0.55000000000000004">
      <c r="A49" t="s">
        <v>1529</v>
      </c>
      <c r="B49" t="s">
        <v>1530</v>
      </c>
    </row>
    <row r="50" spans="1:2" x14ac:dyDescent="0.55000000000000004">
      <c r="A50" t="s">
        <v>1531</v>
      </c>
      <c r="B50" t="s">
        <v>1532</v>
      </c>
    </row>
    <row r="51" spans="1:2" x14ac:dyDescent="0.55000000000000004">
      <c r="A51" t="s">
        <v>1533</v>
      </c>
      <c r="B51" t="s">
        <v>1534</v>
      </c>
    </row>
    <row r="52" spans="1:2" x14ac:dyDescent="0.55000000000000004">
      <c r="A52" t="s">
        <v>1535</v>
      </c>
      <c r="B52" t="s">
        <v>1536</v>
      </c>
    </row>
    <row r="53" spans="1:2" x14ac:dyDescent="0.55000000000000004">
      <c r="A53" t="s">
        <v>1537</v>
      </c>
      <c r="B53" t="s">
        <v>1538</v>
      </c>
    </row>
    <row r="54" spans="1:2" x14ac:dyDescent="0.55000000000000004">
      <c r="A54" t="s">
        <v>1539</v>
      </c>
      <c r="B54" t="s">
        <v>1540</v>
      </c>
    </row>
    <row r="55" spans="1:2" x14ac:dyDescent="0.55000000000000004">
      <c r="A55" t="s">
        <v>1541</v>
      </c>
      <c r="B55" t="s">
        <v>1542</v>
      </c>
    </row>
    <row r="56" spans="1:2" x14ac:dyDescent="0.55000000000000004">
      <c r="A56" t="s">
        <v>1543</v>
      </c>
      <c r="B56" t="s">
        <v>1544</v>
      </c>
    </row>
    <row r="57" spans="1:2" x14ac:dyDescent="0.55000000000000004">
      <c r="A57" t="s">
        <v>1545</v>
      </c>
      <c r="B57" t="s">
        <v>1546</v>
      </c>
    </row>
    <row r="58" spans="1:2" x14ac:dyDescent="0.55000000000000004">
      <c r="A58" t="s">
        <v>1547</v>
      </c>
      <c r="B58" t="s">
        <v>1548</v>
      </c>
    </row>
    <row r="59" spans="1:2" x14ac:dyDescent="0.55000000000000004">
      <c r="A59" t="s">
        <v>1549</v>
      </c>
      <c r="B59" t="s">
        <v>1550</v>
      </c>
    </row>
    <row r="60" spans="1:2" x14ac:dyDescent="0.55000000000000004">
      <c r="A60" t="s">
        <v>1551</v>
      </c>
      <c r="B60" t="s">
        <v>1552</v>
      </c>
    </row>
    <row r="61" spans="1:2" x14ac:dyDescent="0.55000000000000004">
      <c r="A61" t="s">
        <v>1553</v>
      </c>
      <c r="B61" t="s">
        <v>1554</v>
      </c>
    </row>
    <row r="62" spans="1:2" x14ac:dyDescent="0.55000000000000004">
      <c r="A62" t="s">
        <v>1555</v>
      </c>
      <c r="B62" t="s">
        <v>1556</v>
      </c>
    </row>
    <row r="63" spans="1:2" x14ac:dyDescent="0.55000000000000004">
      <c r="A63" t="s">
        <v>1557</v>
      </c>
      <c r="B63" t="s">
        <v>1558</v>
      </c>
    </row>
    <row r="64" spans="1:2" x14ac:dyDescent="0.55000000000000004">
      <c r="A64" t="s">
        <v>1559</v>
      </c>
      <c r="B64" t="s">
        <v>1560</v>
      </c>
    </row>
    <row r="65" spans="1:2" x14ac:dyDescent="0.55000000000000004">
      <c r="A65" t="s">
        <v>1561</v>
      </c>
      <c r="B65" t="s">
        <v>1562</v>
      </c>
    </row>
    <row r="66" spans="1:2" x14ac:dyDescent="0.55000000000000004">
      <c r="A66" t="s">
        <v>1563</v>
      </c>
      <c r="B66" t="s">
        <v>1564</v>
      </c>
    </row>
    <row r="67" spans="1:2" x14ac:dyDescent="0.55000000000000004">
      <c r="A67" t="s">
        <v>1565</v>
      </c>
      <c r="B67" t="s">
        <v>1566</v>
      </c>
    </row>
    <row r="68" spans="1:2" x14ac:dyDescent="0.55000000000000004">
      <c r="A68" t="s">
        <v>1567</v>
      </c>
      <c r="B68" t="s">
        <v>1568</v>
      </c>
    </row>
    <row r="69" spans="1:2" x14ac:dyDescent="0.55000000000000004">
      <c r="A69" t="s">
        <v>1569</v>
      </c>
      <c r="B69" t="s">
        <v>1570</v>
      </c>
    </row>
    <row r="70" spans="1:2" x14ac:dyDescent="0.55000000000000004">
      <c r="A70" t="s">
        <v>1571</v>
      </c>
      <c r="B70" t="s">
        <v>1572</v>
      </c>
    </row>
    <row r="71" spans="1:2" x14ac:dyDescent="0.55000000000000004">
      <c r="A71" t="s">
        <v>1573</v>
      </c>
      <c r="B71" t="s">
        <v>1574</v>
      </c>
    </row>
    <row r="72" spans="1:2" x14ac:dyDescent="0.55000000000000004">
      <c r="A72" t="s">
        <v>1575</v>
      </c>
      <c r="B72" t="s">
        <v>1576</v>
      </c>
    </row>
    <row r="73" spans="1:2" x14ac:dyDescent="0.55000000000000004">
      <c r="A73" t="s">
        <v>1577</v>
      </c>
      <c r="B73" t="s">
        <v>1578</v>
      </c>
    </row>
    <row r="74" spans="1:2" x14ac:dyDescent="0.55000000000000004">
      <c r="A74" t="s">
        <v>1579</v>
      </c>
      <c r="B74" t="s">
        <v>1580</v>
      </c>
    </row>
    <row r="75" spans="1:2" x14ac:dyDescent="0.55000000000000004">
      <c r="A75" t="s">
        <v>1581</v>
      </c>
      <c r="B75" t="s">
        <v>1582</v>
      </c>
    </row>
    <row r="76" spans="1:2" x14ac:dyDescent="0.55000000000000004">
      <c r="A76" t="s">
        <v>1583</v>
      </c>
      <c r="B76" t="s">
        <v>1584</v>
      </c>
    </row>
    <row r="77" spans="1:2" x14ac:dyDescent="0.55000000000000004">
      <c r="A77" t="s">
        <v>1585</v>
      </c>
      <c r="B77" t="s">
        <v>1586</v>
      </c>
    </row>
    <row r="78" spans="1:2" x14ac:dyDescent="0.55000000000000004">
      <c r="A78" t="s">
        <v>1587</v>
      </c>
      <c r="B78" t="s">
        <v>1588</v>
      </c>
    </row>
    <row r="79" spans="1:2" x14ac:dyDescent="0.55000000000000004">
      <c r="A79" t="s">
        <v>1589</v>
      </c>
      <c r="B79" t="s">
        <v>1590</v>
      </c>
    </row>
    <row r="80" spans="1:2" x14ac:dyDescent="0.55000000000000004">
      <c r="A80" t="s">
        <v>1591</v>
      </c>
      <c r="B80" t="s">
        <v>1592</v>
      </c>
    </row>
    <row r="81" spans="1:2" x14ac:dyDescent="0.55000000000000004">
      <c r="A81" t="s">
        <v>1593</v>
      </c>
      <c r="B81" t="s">
        <v>1594</v>
      </c>
    </row>
    <row r="82" spans="1:2" x14ac:dyDescent="0.55000000000000004">
      <c r="A82" t="s">
        <v>1595</v>
      </c>
      <c r="B82" t="s">
        <v>1596</v>
      </c>
    </row>
    <row r="83" spans="1:2" x14ac:dyDescent="0.55000000000000004">
      <c r="A83" t="s">
        <v>1597</v>
      </c>
      <c r="B83" t="s">
        <v>1598</v>
      </c>
    </row>
    <row r="84" spans="1:2" x14ac:dyDescent="0.55000000000000004">
      <c r="A84" t="s">
        <v>1599</v>
      </c>
      <c r="B84" t="s">
        <v>1600</v>
      </c>
    </row>
    <row r="85" spans="1:2" x14ac:dyDescent="0.55000000000000004">
      <c r="A85" t="s">
        <v>1601</v>
      </c>
      <c r="B85" t="s">
        <v>1602</v>
      </c>
    </row>
    <row r="86" spans="1:2" x14ac:dyDescent="0.55000000000000004">
      <c r="A86" t="s">
        <v>1603</v>
      </c>
      <c r="B86" t="s">
        <v>1604</v>
      </c>
    </row>
    <row r="87" spans="1:2" x14ac:dyDescent="0.55000000000000004">
      <c r="A87" t="s">
        <v>1605</v>
      </c>
      <c r="B87" t="s">
        <v>1606</v>
      </c>
    </row>
    <row r="88" spans="1:2" x14ac:dyDescent="0.55000000000000004">
      <c r="A88" t="s">
        <v>1607</v>
      </c>
      <c r="B88" t="s">
        <v>1608</v>
      </c>
    </row>
    <row r="89" spans="1:2" x14ac:dyDescent="0.55000000000000004">
      <c r="A89" t="s">
        <v>1609</v>
      </c>
      <c r="B89" t="s">
        <v>1610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0A87-4589-4E5A-8419-429AC9BFF3CB}">
  <sheetPr>
    <pageSetUpPr fitToPage="1"/>
  </sheetPr>
  <dimension ref="A1:F180"/>
  <sheetViews>
    <sheetView topLeftCell="A24" workbookViewId="0">
      <selection activeCell="F43" sqref="F43"/>
    </sheetView>
  </sheetViews>
  <sheetFormatPr defaultRowHeight="14.4" x14ac:dyDescent="0.55000000000000004"/>
  <cols>
    <col min="1" max="1" width="14.41796875" style="3" bestFit="1" customWidth="1"/>
    <col min="2" max="2" width="36.68359375" style="5" bestFit="1" customWidth="1"/>
    <col min="3" max="3" width="8.578125" style="5" bestFit="1" customWidth="1"/>
    <col min="4" max="4" width="9.41796875" style="5" bestFit="1" customWidth="1"/>
    <col min="5" max="5" width="6" style="5" bestFit="1" customWidth="1"/>
    <col min="6" max="6" width="10.26171875" style="5" bestFit="1" customWidth="1"/>
  </cols>
  <sheetData>
    <row r="1" spans="1:6" ht="28.8" x14ac:dyDescent="0.55000000000000004">
      <c r="A1" s="15" t="s">
        <v>0</v>
      </c>
      <c r="B1" s="12" t="s">
        <v>27</v>
      </c>
      <c r="C1" s="12" t="s">
        <v>25</v>
      </c>
      <c r="D1" s="12" t="s">
        <v>26</v>
      </c>
      <c r="E1" s="12" t="s">
        <v>1197</v>
      </c>
      <c r="F1" s="12" t="s">
        <v>454</v>
      </c>
    </row>
    <row r="2" spans="1:6" x14ac:dyDescent="0.55000000000000004">
      <c r="A2" s="16" t="s">
        <v>197</v>
      </c>
      <c r="B2" s="13" t="s">
        <v>413</v>
      </c>
      <c r="C2" s="13">
        <v>1</v>
      </c>
      <c r="D2" s="13" t="s">
        <v>73</v>
      </c>
      <c r="E2" s="28">
        <v>0.48918715982521327</v>
      </c>
      <c r="F2" s="13" t="s">
        <v>1198</v>
      </c>
    </row>
    <row r="3" spans="1:6" x14ac:dyDescent="0.55000000000000004">
      <c r="A3" s="16" t="s">
        <v>213</v>
      </c>
      <c r="B3" s="13" t="s">
        <v>413</v>
      </c>
      <c r="C3" s="13">
        <v>1</v>
      </c>
      <c r="D3" s="13" t="s">
        <v>76</v>
      </c>
      <c r="E3" s="28">
        <v>0.23574427215244023</v>
      </c>
      <c r="F3" s="13" t="s">
        <v>1198</v>
      </c>
    </row>
    <row r="4" spans="1:6" x14ac:dyDescent="0.55000000000000004">
      <c r="A4" s="16" t="s">
        <v>225</v>
      </c>
      <c r="B4" s="13" t="s">
        <v>413</v>
      </c>
      <c r="C4" s="13">
        <v>1</v>
      </c>
      <c r="D4" s="13" t="s">
        <v>83</v>
      </c>
      <c r="E4" s="28">
        <v>0.1908805512689454</v>
      </c>
      <c r="F4" s="13" t="s">
        <v>1198</v>
      </c>
    </row>
    <row r="5" spans="1:6" x14ac:dyDescent="0.55000000000000004">
      <c r="A5" s="16" t="s">
        <v>237</v>
      </c>
      <c r="B5" s="13" t="s">
        <v>413</v>
      </c>
      <c r="C5" s="13">
        <v>1</v>
      </c>
      <c r="D5" s="13" t="s">
        <v>84</v>
      </c>
      <c r="E5" s="28">
        <v>3.7000871980590773E-2</v>
      </c>
      <c r="F5" s="13" t="s">
        <v>1198</v>
      </c>
    </row>
    <row r="6" spans="1:6" x14ac:dyDescent="0.55000000000000004">
      <c r="A6" s="16" t="s">
        <v>202</v>
      </c>
      <c r="B6" s="13" t="s">
        <v>413</v>
      </c>
      <c r="C6" s="13">
        <v>2</v>
      </c>
      <c r="D6" s="13" t="s">
        <v>73</v>
      </c>
      <c r="E6" s="28">
        <v>3.4479875103341979</v>
      </c>
      <c r="F6" s="13" t="s">
        <v>1198</v>
      </c>
    </row>
    <row r="7" spans="1:6" x14ac:dyDescent="0.55000000000000004">
      <c r="A7" s="16" t="s">
        <v>214</v>
      </c>
      <c r="B7" s="13" t="s">
        <v>413</v>
      </c>
      <c r="C7" s="13">
        <v>2</v>
      </c>
      <c r="D7" s="13" t="s">
        <v>76</v>
      </c>
      <c r="E7" s="28">
        <v>6.0554118181261121E-2</v>
      </c>
      <c r="F7" s="13" t="s">
        <v>1198</v>
      </c>
    </row>
    <row r="8" spans="1:6" x14ac:dyDescent="0.55000000000000004">
      <c r="A8" s="16" t="s">
        <v>226</v>
      </c>
      <c r="B8" s="13" t="s">
        <v>413</v>
      </c>
      <c r="C8" s="13">
        <v>2</v>
      </c>
      <c r="D8" s="13" t="s">
        <v>83</v>
      </c>
      <c r="E8" s="28">
        <v>6.2462193717233029E-2</v>
      </c>
      <c r="F8" s="13" t="s">
        <v>1198</v>
      </c>
    </row>
    <row r="9" spans="1:6" x14ac:dyDescent="0.55000000000000004">
      <c r="A9" s="16" t="s">
        <v>238</v>
      </c>
      <c r="B9" s="13" t="s">
        <v>413</v>
      </c>
      <c r="C9" s="13">
        <v>2</v>
      </c>
      <c r="D9" s="13" t="s">
        <v>84</v>
      </c>
      <c r="E9" s="28">
        <v>5.7112436939031106</v>
      </c>
      <c r="F9" s="13" t="s">
        <v>1198</v>
      </c>
    </row>
    <row r="10" spans="1:6" x14ac:dyDescent="0.55000000000000004">
      <c r="A10" s="16" t="s">
        <v>203</v>
      </c>
      <c r="B10" s="13" t="s">
        <v>413</v>
      </c>
      <c r="C10" s="13">
        <v>3</v>
      </c>
      <c r="D10" s="13" t="s">
        <v>73</v>
      </c>
      <c r="E10" s="28">
        <v>0.63336829702246822</v>
      </c>
      <c r="F10" s="13" t="s">
        <v>1198</v>
      </c>
    </row>
    <row r="11" spans="1:6" x14ac:dyDescent="0.55000000000000004">
      <c r="A11" s="16" t="s">
        <v>215</v>
      </c>
      <c r="B11" s="13" t="s">
        <v>413</v>
      </c>
      <c r="C11" s="13">
        <v>3</v>
      </c>
      <c r="D11" s="13" t="s">
        <v>76</v>
      </c>
      <c r="E11" s="28">
        <v>0.6206394620579444</v>
      </c>
      <c r="F11" s="13" t="s">
        <v>1198</v>
      </c>
    </row>
    <row r="12" spans="1:6" x14ac:dyDescent="0.55000000000000004">
      <c r="A12" s="16" t="s">
        <v>227</v>
      </c>
      <c r="B12" s="13" t="s">
        <v>413</v>
      </c>
      <c r="C12" s="13">
        <v>3</v>
      </c>
      <c r="D12" s="13" t="s">
        <v>83</v>
      </c>
      <c r="E12" s="28">
        <v>0.11978546062370045</v>
      </c>
      <c r="F12" s="13" t="s">
        <v>1198</v>
      </c>
    </row>
    <row r="13" spans="1:6" x14ac:dyDescent="0.55000000000000004">
      <c r="A13" s="16" t="s">
        <v>239</v>
      </c>
      <c r="B13" s="13" t="s">
        <v>413</v>
      </c>
      <c r="C13" s="13">
        <v>3</v>
      </c>
      <c r="D13" s="13" t="s">
        <v>84</v>
      </c>
      <c r="E13" s="28">
        <v>1.4541276227614983</v>
      </c>
      <c r="F13" s="13" t="s">
        <v>1198</v>
      </c>
    </row>
    <row r="14" spans="1:6" x14ac:dyDescent="0.55000000000000004">
      <c r="A14" s="16" t="s">
        <v>204</v>
      </c>
      <c r="B14" s="13" t="s">
        <v>413</v>
      </c>
      <c r="C14" s="13">
        <v>4</v>
      </c>
      <c r="D14" s="13" t="s">
        <v>73</v>
      </c>
      <c r="E14" s="28">
        <v>8.1432499957420905</v>
      </c>
      <c r="F14" s="13" t="s">
        <v>1198</v>
      </c>
    </row>
    <row r="15" spans="1:6" x14ac:dyDescent="0.55000000000000004">
      <c r="A15" s="16" t="s">
        <v>216</v>
      </c>
      <c r="B15" s="13" t="s">
        <v>413</v>
      </c>
      <c r="C15" s="13">
        <v>4</v>
      </c>
      <c r="D15" s="13" t="s">
        <v>76</v>
      </c>
      <c r="E15" s="28">
        <v>7.6428083366598135E-2</v>
      </c>
      <c r="F15" s="13" t="s">
        <v>1198</v>
      </c>
    </row>
    <row r="16" spans="1:6" x14ac:dyDescent="0.55000000000000004">
      <c r="A16" s="16" t="s">
        <v>228</v>
      </c>
      <c r="B16" s="13" t="s">
        <v>413</v>
      </c>
      <c r="C16" s="13">
        <v>4</v>
      </c>
      <c r="D16" s="13" t="s">
        <v>83</v>
      </c>
      <c r="E16" s="28">
        <v>5.3418957603243475</v>
      </c>
      <c r="F16" s="13" t="s">
        <v>1198</v>
      </c>
    </row>
    <row r="17" spans="1:6" x14ac:dyDescent="0.55000000000000004">
      <c r="A17" s="16" t="s">
        <v>240</v>
      </c>
      <c r="B17" s="13" t="s">
        <v>413</v>
      </c>
      <c r="C17" s="13">
        <v>4</v>
      </c>
      <c r="D17" s="13" t="s">
        <v>84</v>
      </c>
      <c r="E17" s="28">
        <v>9.5280276348730653E-2</v>
      </c>
      <c r="F17" s="13" t="s">
        <v>1198</v>
      </c>
    </row>
    <row r="18" spans="1:6" x14ac:dyDescent="0.55000000000000004">
      <c r="A18" s="16" t="s">
        <v>205</v>
      </c>
      <c r="B18" s="13" t="s">
        <v>413</v>
      </c>
      <c r="C18" s="13">
        <v>5</v>
      </c>
      <c r="D18" s="13" t="s">
        <v>73</v>
      </c>
      <c r="E18" s="28">
        <v>1.5933949334629856</v>
      </c>
      <c r="F18" s="13" t="s">
        <v>1198</v>
      </c>
    </row>
    <row r="19" spans="1:6" x14ac:dyDescent="0.55000000000000004">
      <c r="A19" s="16" t="s">
        <v>217</v>
      </c>
      <c r="B19" s="13" t="s">
        <v>413</v>
      </c>
      <c r="C19" s="13">
        <v>5</v>
      </c>
      <c r="D19" s="13" t="s">
        <v>76</v>
      </c>
      <c r="E19" s="28">
        <v>7.6103979424124918E-2</v>
      </c>
      <c r="F19" s="13" t="s">
        <v>1198</v>
      </c>
    </row>
    <row r="20" spans="1:6" x14ac:dyDescent="0.55000000000000004">
      <c r="A20" s="16" t="s">
        <v>229</v>
      </c>
      <c r="B20" s="13" t="s">
        <v>413</v>
      </c>
      <c r="C20" s="13">
        <v>5</v>
      </c>
      <c r="D20" s="13" t="s">
        <v>83</v>
      </c>
      <c r="E20" s="28">
        <v>3.1911781295902428</v>
      </c>
      <c r="F20" s="13" t="s">
        <v>1198</v>
      </c>
    </row>
    <row r="21" spans="1:6" x14ac:dyDescent="0.55000000000000004">
      <c r="A21" s="16" t="s">
        <v>241</v>
      </c>
      <c r="B21" s="13" t="s">
        <v>413</v>
      </c>
      <c r="C21" s="13">
        <v>5</v>
      </c>
      <c r="D21" s="13" t="s">
        <v>84</v>
      </c>
      <c r="E21" s="28">
        <v>0.20026964859865087</v>
      </c>
      <c r="F21" s="13" t="s">
        <v>1198</v>
      </c>
    </row>
    <row r="22" spans="1:6" x14ac:dyDescent="0.55000000000000004">
      <c r="A22" s="16" t="s">
        <v>206</v>
      </c>
      <c r="B22" s="13" t="s">
        <v>413</v>
      </c>
      <c r="C22" s="13">
        <v>6</v>
      </c>
      <c r="D22" s="13" t="s">
        <v>73</v>
      </c>
      <c r="E22" s="28">
        <v>0.12271736113567294</v>
      </c>
      <c r="F22" s="13" t="s">
        <v>1198</v>
      </c>
    </row>
    <row r="23" spans="1:6" x14ac:dyDescent="0.55000000000000004">
      <c r="A23" s="16" t="s">
        <v>218</v>
      </c>
      <c r="B23" s="13" t="s">
        <v>413</v>
      </c>
      <c r="C23" s="13">
        <v>6</v>
      </c>
      <c r="D23" s="13" t="s">
        <v>76</v>
      </c>
      <c r="E23" s="28">
        <v>0.35880041890851866</v>
      </c>
      <c r="F23" s="13" t="s">
        <v>1198</v>
      </c>
    </row>
    <row r="24" spans="1:6" x14ac:dyDescent="0.55000000000000004">
      <c r="A24" s="16" t="s">
        <v>230</v>
      </c>
      <c r="B24" s="13" t="s">
        <v>413</v>
      </c>
      <c r="C24" s="13">
        <v>6</v>
      </c>
      <c r="D24" s="13" t="s">
        <v>83</v>
      </c>
      <c r="E24" s="28">
        <v>0.21274244194641775</v>
      </c>
      <c r="F24" s="13" t="s">
        <v>1198</v>
      </c>
    </row>
    <row r="25" spans="1:6" x14ac:dyDescent="0.55000000000000004">
      <c r="A25" s="16" t="s">
        <v>207</v>
      </c>
      <c r="B25" s="13" t="s">
        <v>413</v>
      </c>
      <c r="C25" s="13">
        <v>7</v>
      </c>
      <c r="D25" s="13" t="s">
        <v>73</v>
      </c>
      <c r="E25" s="28">
        <v>1.0447847135745958</v>
      </c>
      <c r="F25" s="13" t="s">
        <v>1198</v>
      </c>
    </row>
    <row r="26" spans="1:6" x14ac:dyDescent="0.55000000000000004">
      <c r="A26" s="16" t="s">
        <v>219</v>
      </c>
      <c r="B26" s="13" t="s">
        <v>413</v>
      </c>
      <c r="C26" s="13">
        <v>7</v>
      </c>
      <c r="D26" s="13" t="s">
        <v>76</v>
      </c>
      <c r="E26" s="28">
        <v>0.17001388886159016</v>
      </c>
      <c r="F26" s="13" t="s">
        <v>1198</v>
      </c>
    </row>
    <row r="27" spans="1:6" x14ac:dyDescent="0.55000000000000004">
      <c r="A27" s="16" t="s">
        <v>231</v>
      </c>
      <c r="B27" s="13" t="s">
        <v>413</v>
      </c>
      <c r="C27" s="13">
        <v>7</v>
      </c>
      <c r="D27" s="13" t="s">
        <v>83</v>
      </c>
      <c r="E27" s="28">
        <v>9.1797987508695458E-2</v>
      </c>
      <c r="F27" s="13" t="s">
        <v>1198</v>
      </c>
    </row>
    <row r="28" spans="1:6" x14ac:dyDescent="0.55000000000000004">
      <c r="A28" s="16" t="s">
        <v>208</v>
      </c>
      <c r="B28" s="13" t="s">
        <v>413</v>
      </c>
      <c r="C28" s="13">
        <v>8</v>
      </c>
      <c r="D28" s="13" t="s">
        <v>73</v>
      </c>
      <c r="E28" s="28">
        <v>0.99930832310232276</v>
      </c>
      <c r="F28" s="13" t="s">
        <v>1198</v>
      </c>
    </row>
    <row r="29" spans="1:6" x14ac:dyDescent="0.55000000000000004">
      <c r="A29" s="16" t="s">
        <v>220</v>
      </c>
      <c r="B29" s="13" t="s">
        <v>413</v>
      </c>
      <c r="C29" s="13">
        <v>8</v>
      </c>
      <c r="D29" s="13" t="s">
        <v>76</v>
      </c>
      <c r="E29" s="28">
        <v>0.73017642628364987</v>
      </c>
      <c r="F29" s="13" t="s">
        <v>1198</v>
      </c>
    </row>
    <row r="30" spans="1:6" x14ac:dyDescent="0.55000000000000004">
      <c r="A30" s="16" t="s">
        <v>232</v>
      </c>
      <c r="B30" s="13" t="s">
        <v>413</v>
      </c>
      <c r="C30" s="13">
        <v>8</v>
      </c>
      <c r="D30" s="13" t="s">
        <v>83</v>
      </c>
      <c r="E30" s="28">
        <v>0.51932339665302307</v>
      </c>
      <c r="F30" s="13" t="s">
        <v>1198</v>
      </c>
    </row>
    <row r="31" spans="1:6" x14ac:dyDescent="0.55000000000000004">
      <c r="A31" s="16" t="s">
        <v>209</v>
      </c>
      <c r="B31" s="13" t="s">
        <v>413</v>
      </c>
      <c r="C31" s="13">
        <v>9</v>
      </c>
      <c r="D31" s="13" t="s">
        <v>73</v>
      </c>
      <c r="E31" s="28">
        <v>2.1863791382293987</v>
      </c>
      <c r="F31" s="13" t="s">
        <v>1198</v>
      </c>
    </row>
    <row r="32" spans="1:6" x14ac:dyDescent="0.55000000000000004">
      <c r="A32" s="16" t="s">
        <v>221</v>
      </c>
      <c r="B32" s="13" t="s">
        <v>413</v>
      </c>
      <c r="C32" s="13">
        <v>9</v>
      </c>
      <c r="D32" s="13" t="s">
        <v>76</v>
      </c>
      <c r="E32" s="28">
        <v>0.13498352819070558</v>
      </c>
      <c r="F32" s="13" t="s">
        <v>1198</v>
      </c>
    </row>
    <row r="33" spans="1:6" x14ac:dyDescent="0.55000000000000004">
      <c r="A33" s="16" t="s">
        <v>233</v>
      </c>
      <c r="B33" s="13" t="s">
        <v>413</v>
      </c>
      <c r="C33" s="13">
        <v>9</v>
      </c>
      <c r="D33" s="13" t="s">
        <v>83</v>
      </c>
      <c r="E33" s="28">
        <v>0.38030669312760196</v>
      </c>
      <c r="F33" s="13" t="s">
        <v>1198</v>
      </c>
    </row>
    <row r="34" spans="1:6" x14ac:dyDescent="0.55000000000000004">
      <c r="A34" s="16" t="s">
        <v>210</v>
      </c>
      <c r="B34" s="13" t="s">
        <v>413</v>
      </c>
      <c r="C34" s="13">
        <v>10</v>
      </c>
      <c r="D34" s="13" t="s">
        <v>73</v>
      </c>
      <c r="E34" s="28">
        <v>5.8125885094702996</v>
      </c>
      <c r="F34" s="13" t="s">
        <v>1198</v>
      </c>
    </row>
    <row r="35" spans="1:6" x14ac:dyDescent="0.55000000000000004">
      <c r="A35" s="16" t="s">
        <v>222</v>
      </c>
      <c r="B35" s="13" t="s">
        <v>413</v>
      </c>
      <c r="C35" s="13">
        <v>10</v>
      </c>
      <c r="D35" s="13" t="s">
        <v>76</v>
      </c>
      <c r="E35" s="28">
        <v>0.36165836092871945</v>
      </c>
      <c r="F35" s="13" t="s">
        <v>1198</v>
      </c>
    </row>
    <row r="36" spans="1:6" x14ac:dyDescent="0.55000000000000004">
      <c r="A36" s="16" t="s">
        <v>234</v>
      </c>
      <c r="B36" s="13" t="s">
        <v>413</v>
      </c>
      <c r="C36" s="13">
        <v>10</v>
      </c>
      <c r="D36" s="13" t="s">
        <v>83</v>
      </c>
      <c r="E36" s="28">
        <v>0.13730914122042465</v>
      </c>
      <c r="F36" s="13" t="s">
        <v>1198</v>
      </c>
    </row>
    <row r="37" spans="1:6" x14ac:dyDescent="0.55000000000000004">
      <c r="A37" s="16" t="s">
        <v>211</v>
      </c>
      <c r="B37" s="13" t="s">
        <v>413</v>
      </c>
      <c r="C37" s="13">
        <v>11</v>
      </c>
      <c r="D37" s="13" t="s">
        <v>73</v>
      </c>
      <c r="E37" s="28">
        <v>0.16640543049992657</v>
      </c>
      <c r="F37" s="13" t="s">
        <v>1198</v>
      </c>
    </row>
    <row r="38" spans="1:6" x14ac:dyDescent="0.55000000000000004">
      <c r="A38" s="16" t="s">
        <v>223</v>
      </c>
      <c r="B38" s="13" t="s">
        <v>413</v>
      </c>
      <c r="C38" s="13">
        <v>11</v>
      </c>
      <c r="D38" s="13" t="s">
        <v>76</v>
      </c>
      <c r="E38" s="28">
        <v>8.6374587364448571E-2</v>
      </c>
      <c r="F38" s="13" t="s">
        <v>1198</v>
      </c>
    </row>
    <row r="39" spans="1:6" x14ac:dyDescent="0.55000000000000004">
      <c r="A39" s="16" t="s">
        <v>235</v>
      </c>
      <c r="B39" s="13" t="s">
        <v>413</v>
      </c>
      <c r="C39" s="13">
        <v>11</v>
      </c>
      <c r="D39" s="13" t="s">
        <v>83</v>
      </c>
      <c r="E39" s="28">
        <v>1.838599963468537</v>
      </c>
      <c r="F39" s="13" t="s">
        <v>1198</v>
      </c>
    </row>
    <row r="40" spans="1:6" x14ac:dyDescent="0.55000000000000004">
      <c r="A40" s="16" t="s">
        <v>212</v>
      </c>
      <c r="B40" s="13" t="s">
        <v>413</v>
      </c>
      <c r="C40" s="13">
        <v>12</v>
      </c>
      <c r="D40" s="13" t="s">
        <v>73</v>
      </c>
      <c r="E40" s="28">
        <v>0.40713235363077421</v>
      </c>
      <c r="F40" s="13" t="s">
        <v>1198</v>
      </c>
    </row>
    <row r="41" spans="1:6" x14ac:dyDescent="0.55000000000000004">
      <c r="A41" s="16" t="s">
        <v>224</v>
      </c>
      <c r="B41" s="13" t="s">
        <v>413</v>
      </c>
      <c r="C41" s="13">
        <v>12</v>
      </c>
      <c r="D41" s="13" t="s">
        <v>76</v>
      </c>
      <c r="E41" s="28">
        <v>0.51714177373235493</v>
      </c>
      <c r="F41" s="13" t="s">
        <v>1198</v>
      </c>
    </row>
    <row r="42" spans="1:6" x14ac:dyDescent="0.55000000000000004">
      <c r="A42" s="16" t="s">
        <v>236</v>
      </c>
      <c r="B42" s="13" t="s">
        <v>413</v>
      </c>
      <c r="C42" s="13">
        <v>12</v>
      </c>
      <c r="D42" s="13" t="s">
        <v>83</v>
      </c>
      <c r="E42" s="28">
        <v>0.75423602756099095</v>
      </c>
      <c r="F42" s="13" t="s">
        <v>1198</v>
      </c>
    </row>
    <row r="43" spans="1:6" x14ac:dyDescent="0.55000000000000004">
      <c r="A43" s="16" t="s">
        <v>207</v>
      </c>
      <c r="B43" s="13" t="s">
        <v>201</v>
      </c>
      <c r="C43" s="13">
        <v>4</v>
      </c>
      <c r="D43" s="13" t="s">
        <v>73</v>
      </c>
      <c r="E43" s="28">
        <v>57.1089375218058</v>
      </c>
      <c r="F43" s="13" t="s">
        <v>1198</v>
      </c>
    </row>
    <row r="44" spans="1:6" x14ac:dyDescent="0.55000000000000004">
      <c r="A44" s="16" t="s">
        <v>209</v>
      </c>
      <c r="B44" s="13" t="s">
        <v>201</v>
      </c>
      <c r="C44" s="13">
        <v>4</v>
      </c>
      <c r="D44" s="13" t="s">
        <v>83</v>
      </c>
      <c r="E44" s="28">
        <v>64.25877835141452</v>
      </c>
      <c r="F44" s="13" t="s">
        <v>1198</v>
      </c>
    </row>
    <row r="45" spans="1:6" x14ac:dyDescent="0.55000000000000004">
      <c r="A45" s="16" t="s">
        <v>215</v>
      </c>
      <c r="B45" s="13" t="s">
        <v>201</v>
      </c>
      <c r="C45" s="13">
        <v>5</v>
      </c>
      <c r="D45" s="13" t="s">
        <v>73</v>
      </c>
      <c r="E45" s="28">
        <v>54.749573289989804</v>
      </c>
      <c r="F45" s="13" t="s">
        <v>1198</v>
      </c>
    </row>
    <row r="46" spans="1:6" x14ac:dyDescent="0.55000000000000004">
      <c r="A46" s="16" t="s">
        <v>232</v>
      </c>
      <c r="B46" s="13" t="s">
        <v>201</v>
      </c>
      <c r="C46" s="13">
        <v>7</v>
      </c>
      <c r="D46" s="13" t="s">
        <v>76</v>
      </c>
      <c r="E46" s="28">
        <v>82.160486263373414</v>
      </c>
      <c r="F46" s="13" t="s">
        <v>1198</v>
      </c>
    </row>
    <row r="47" spans="1:6" x14ac:dyDescent="0.55000000000000004">
      <c r="A47" s="16" t="s">
        <v>239</v>
      </c>
      <c r="B47" s="13" t="s">
        <v>201</v>
      </c>
      <c r="C47" s="13">
        <v>8</v>
      </c>
      <c r="D47" s="13" t="s">
        <v>73</v>
      </c>
      <c r="E47" s="28">
        <v>92.908662087331408</v>
      </c>
      <c r="F47" s="13" t="s">
        <v>1198</v>
      </c>
    </row>
    <row r="48" spans="1:6" x14ac:dyDescent="0.55000000000000004">
      <c r="A48" s="16" t="s">
        <v>249</v>
      </c>
      <c r="B48" s="13" t="s">
        <v>413</v>
      </c>
      <c r="C48" s="13">
        <v>1</v>
      </c>
      <c r="D48" s="13" t="s">
        <v>87</v>
      </c>
      <c r="E48" s="28">
        <v>7.5048363903235256</v>
      </c>
      <c r="F48" s="13" t="s">
        <v>1200</v>
      </c>
    </row>
    <row r="49" spans="1:6" x14ac:dyDescent="0.55000000000000004">
      <c r="A49" s="16" t="s">
        <v>262</v>
      </c>
      <c r="B49" s="13" t="s">
        <v>413</v>
      </c>
      <c r="C49" s="13">
        <v>1</v>
      </c>
      <c r="D49" s="13" t="s">
        <v>88</v>
      </c>
      <c r="E49" s="28">
        <v>7.8877640678072958E-2</v>
      </c>
      <c r="F49" s="13" t="s">
        <v>1200</v>
      </c>
    </row>
    <row r="50" spans="1:6" x14ac:dyDescent="0.55000000000000004">
      <c r="A50" s="16" t="s">
        <v>274</v>
      </c>
      <c r="B50" s="13" t="s">
        <v>413</v>
      </c>
      <c r="C50" s="13">
        <v>1</v>
      </c>
      <c r="D50" s="13" t="s">
        <v>91</v>
      </c>
      <c r="E50" s="28">
        <v>14.222654918943796</v>
      </c>
      <c r="F50" s="13" t="s">
        <v>1200</v>
      </c>
    </row>
    <row r="51" spans="1:6" x14ac:dyDescent="0.55000000000000004">
      <c r="A51" s="16" t="s">
        <v>251</v>
      </c>
      <c r="B51" s="13" t="s">
        <v>413</v>
      </c>
      <c r="C51" s="13">
        <v>2</v>
      </c>
      <c r="D51" s="13" t="s">
        <v>87</v>
      </c>
      <c r="E51" s="28">
        <v>0.10911692817915475</v>
      </c>
      <c r="F51" s="13" t="s">
        <v>1200</v>
      </c>
    </row>
    <row r="52" spans="1:6" x14ac:dyDescent="0.55000000000000004">
      <c r="A52" s="16" t="s">
        <v>263</v>
      </c>
      <c r="B52" s="13" t="s">
        <v>413</v>
      </c>
      <c r="C52" s="13">
        <v>2</v>
      </c>
      <c r="D52" s="13" t="s">
        <v>88</v>
      </c>
      <c r="E52" s="28">
        <v>0.13563892772814867</v>
      </c>
      <c r="F52" s="13" t="s">
        <v>1200</v>
      </c>
    </row>
    <row r="53" spans="1:6" x14ac:dyDescent="0.55000000000000004">
      <c r="A53" s="16" t="s">
        <v>275</v>
      </c>
      <c r="B53" s="13" t="s">
        <v>413</v>
      </c>
      <c r="C53" s="13">
        <v>2</v>
      </c>
      <c r="D53" s="13" t="s">
        <v>91</v>
      </c>
      <c r="E53" s="28">
        <v>10.402193155296953</v>
      </c>
      <c r="F53" s="13" t="s">
        <v>1200</v>
      </c>
    </row>
    <row r="54" spans="1:6" x14ac:dyDescent="0.55000000000000004">
      <c r="A54" s="16" t="s">
        <v>252</v>
      </c>
      <c r="B54" s="13" t="s">
        <v>413</v>
      </c>
      <c r="C54" s="13">
        <v>3</v>
      </c>
      <c r="D54" s="13" t="s">
        <v>87</v>
      </c>
      <c r="E54" s="28">
        <v>2.2050293835734087</v>
      </c>
      <c r="F54" s="13" t="s">
        <v>1200</v>
      </c>
    </row>
    <row r="55" spans="1:6" x14ac:dyDescent="0.55000000000000004">
      <c r="A55" s="16" t="s">
        <v>264</v>
      </c>
      <c r="B55" s="13" t="s">
        <v>413</v>
      </c>
      <c r="C55" s="13">
        <v>3</v>
      </c>
      <c r="D55" s="13" t="s">
        <v>88</v>
      </c>
      <c r="E55" s="28">
        <v>0.17094559587121672</v>
      </c>
      <c r="F55" s="13" t="s">
        <v>1200</v>
      </c>
    </row>
    <row r="56" spans="1:6" x14ac:dyDescent="0.55000000000000004">
      <c r="A56" s="16" t="s">
        <v>276</v>
      </c>
      <c r="B56" s="13" t="s">
        <v>413</v>
      </c>
      <c r="C56" s="13">
        <v>3</v>
      </c>
      <c r="D56" s="13" t="s">
        <v>91</v>
      </c>
      <c r="E56" s="28">
        <v>9.359422522099706</v>
      </c>
      <c r="F56" s="13" t="s">
        <v>1200</v>
      </c>
    </row>
    <row r="57" spans="1:6" x14ac:dyDescent="0.55000000000000004">
      <c r="A57" s="16" t="s">
        <v>253</v>
      </c>
      <c r="B57" s="13" t="s">
        <v>413</v>
      </c>
      <c r="C57" s="13">
        <v>4</v>
      </c>
      <c r="D57" s="13" t="s">
        <v>87</v>
      </c>
      <c r="E57" s="28">
        <v>2.2381396608212465</v>
      </c>
      <c r="F57" s="13" t="s">
        <v>1200</v>
      </c>
    </row>
    <row r="58" spans="1:6" x14ac:dyDescent="0.55000000000000004">
      <c r="A58" s="16" t="s">
        <v>265</v>
      </c>
      <c r="B58" s="13" t="s">
        <v>413</v>
      </c>
      <c r="C58" s="13">
        <v>4</v>
      </c>
      <c r="D58" s="13" t="s">
        <v>88</v>
      </c>
      <c r="E58" s="28">
        <v>1.5449597921048628</v>
      </c>
      <c r="F58" s="13" t="s">
        <v>1200</v>
      </c>
    </row>
    <row r="59" spans="1:6" x14ac:dyDescent="0.55000000000000004">
      <c r="A59" s="16" t="s">
        <v>277</v>
      </c>
      <c r="B59" s="13" t="s">
        <v>413</v>
      </c>
      <c r="C59" s="13">
        <v>4</v>
      </c>
      <c r="D59" s="13" t="s">
        <v>91</v>
      </c>
      <c r="E59" s="28">
        <v>12.607352637387496</v>
      </c>
      <c r="F59" s="13" t="s">
        <v>1200</v>
      </c>
    </row>
    <row r="60" spans="1:6" x14ac:dyDescent="0.55000000000000004">
      <c r="A60" s="16" t="s">
        <v>254</v>
      </c>
      <c r="B60" s="13" t="s">
        <v>413</v>
      </c>
      <c r="C60" s="13">
        <v>5</v>
      </c>
      <c r="D60" s="13" t="s">
        <v>87</v>
      </c>
      <c r="E60" s="28">
        <v>0.41543987766632212</v>
      </c>
      <c r="F60" s="13" t="s">
        <v>1200</v>
      </c>
    </row>
    <row r="61" spans="1:6" x14ac:dyDescent="0.55000000000000004">
      <c r="A61" s="16" t="s">
        <v>266</v>
      </c>
      <c r="B61" s="13" t="s">
        <v>413</v>
      </c>
      <c r="C61" s="13">
        <v>5</v>
      </c>
      <c r="D61" s="13" t="s">
        <v>88</v>
      </c>
      <c r="E61" s="28">
        <v>1.8103691579122045</v>
      </c>
      <c r="F61" s="13" t="s">
        <v>1200</v>
      </c>
    </row>
    <row r="62" spans="1:6" x14ac:dyDescent="0.55000000000000004">
      <c r="A62" s="16" t="s">
        <v>278</v>
      </c>
      <c r="B62" s="13" t="s">
        <v>413</v>
      </c>
      <c r="C62" s="13">
        <v>5</v>
      </c>
      <c r="D62" s="13" t="s">
        <v>91</v>
      </c>
      <c r="E62" s="28">
        <v>1.2770198172942979</v>
      </c>
      <c r="F62" s="13" t="s">
        <v>1200</v>
      </c>
    </row>
    <row r="63" spans="1:6" x14ac:dyDescent="0.55000000000000004">
      <c r="A63" s="16" t="s">
        <v>242</v>
      </c>
      <c r="B63" s="13" t="s">
        <v>413</v>
      </c>
      <c r="C63" s="13">
        <v>6</v>
      </c>
      <c r="D63" s="13" t="s">
        <v>84</v>
      </c>
      <c r="E63" s="28">
        <v>13.52294096207264</v>
      </c>
      <c r="F63" s="13" t="s">
        <v>1200</v>
      </c>
    </row>
    <row r="64" spans="1:6" x14ac:dyDescent="0.55000000000000004">
      <c r="A64" s="16" t="s">
        <v>255</v>
      </c>
      <c r="B64" s="13" t="s">
        <v>413</v>
      </c>
      <c r="C64" s="13">
        <v>6</v>
      </c>
      <c r="D64" s="13" t="s">
        <v>87</v>
      </c>
      <c r="E64" s="28">
        <v>0.1912911990551471</v>
      </c>
      <c r="F64" s="13" t="s">
        <v>1200</v>
      </c>
    </row>
    <row r="65" spans="1:6" x14ac:dyDescent="0.55000000000000004">
      <c r="A65" s="16" t="s">
        <v>267</v>
      </c>
      <c r="B65" s="13" t="s">
        <v>413</v>
      </c>
      <c r="C65" s="13">
        <v>6</v>
      </c>
      <c r="D65" s="13" t="s">
        <v>88</v>
      </c>
      <c r="E65" s="28">
        <v>0.95007516018765636</v>
      </c>
      <c r="F65" s="13" t="s">
        <v>1200</v>
      </c>
    </row>
    <row r="66" spans="1:6" x14ac:dyDescent="0.55000000000000004">
      <c r="A66" s="16" t="s">
        <v>243</v>
      </c>
      <c r="B66" s="13" t="s">
        <v>413</v>
      </c>
      <c r="C66" s="13">
        <v>7</v>
      </c>
      <c r="D66" s="13" t="s">
        <v>84</v>
      </c>
      <c r="E66" s="28">
        <v>21.898668163035808</v>
      </c>
      <c r="F66" s="13" t="s">
        <v>1200</v>
      </c>
    </row>
    <row r="67" spans="1:6" x14ac:dyDescent="0.55000000000000004">
      <c r="A67" s="16" t="s">
        <v>256</v>
      </c>
      <c r="B67" s="13" t="s">
        <v>413</v>
      </c>
      <c r="C67" s="13">
        <v>7</v>
      </c>
      <c r="D67" s="13" t="s">
        <v>87</v>
      </c>
      <c r="E67" s="28">
        <v>9.9630560996871811</v>
      </c>
      <c r="F67" s="13" t="s">
        <v>1200</v>
      </c>
    </row>
    <row r="68" spans="1:6" x14ac:dyDescent="0.55000000000000004">
      <c r="A68" s="16" t="s">
        <v>268</v>
      </c>
      <c r="B68" s="13" t="s">
        <v>413</v>
      </c>
      <c r="C68" s="13">
        <v>7</v>
      </c>
      <c r="D68" s="13" t="s">
        <v>88</v>
      </c>
      <c r="E68" s="28">
        <v>16.175518883292618</v>
      </c>
      <c r="F68" s="13" t="s">
        <v>1200</v>
      </c>
    </row>
    <row r="69" spans="1:6" x14ac:dyDescent="0.55000000000000004">
      <c r="A69" s="16" t="s">
        <v>244</v>
      </c>
      <c r="B69" s="13" t="s">
        <v>413</v>
      </c>
      <c r="C69" s="13">
        <v>8</v>
      </c>
      <c r="D69" s="13" t="s">
        <v>84</v>
      </c>
      <c r="E69" s="28">
        <v>14.801084833217686</v>
      </c>
      <c r="F69" s="13" t="s">
        <v>1200</v>
      </c>
    </row>
    <row r="70" spans="1:6" x14ac:dyDescent="0.55000000000000004">
      <c r="A70" s="16" t="s">
        <v>257</v>
      </c>
      <c r="B70" s="13" t="s">
        <v>413</v>
      </c>
      <c r="C70" s="13">
        <v>8</v>
      </c>
      <c r="D70" s="13" t="s">
        <v>87</v>
      </c>
      <c r="E70" s="28">
        <v>20.333719801385268</v>
      </c>
      <c r="F70" s="13" t="s">
        <v>1200</v>
      </c>
    </row>
    <row r="71" spans="1:6" x14ac:dyDescent="0.55000000000000004">
      <c r="A71" s="16" t="s">
        <v>269</v>
      </c>
      <c r="B71" s="13" t="s">
        <v>413</v>
      </c>
      <c r="C71" s="13">
        <v>8</v>
      </c>
      <c r="D71" s="13" t="s">
        <v>88</v>
      </c>
      <c r="E71" s="28">
        <v>0.79502878059870419</v>
      </c>
      <c r="F71" s="13" t="s">
        <v>1200</v>
      </c>
    </row>
    <row r="72" spans="1:6" x14ac:dyDescent="0.55000000000000004">
      <c r="A72" s="16" t="s">
        <v>245</v>
      </c>
      <c r="B72" s="13" t="s">
        <v>413</v>
      </c>
      <c r="C72" s="13">
        <v>9</v>
      </c>
      <c r="D72" s="13" t="s">
        <v>84</v>
      </c>
      <c r="E72" s="28">
        <v>37.483343663794827</v>
      </c>
      <c r="F72" s="13" t="s">
        <v>1200</v>
      </c>
    </row>
    <row r="73" spans="1:6" x14ac:dyDescent="0.55000000000000004">
      <c r="A73" s="16" t="s">
        <v>258</v>
      </c>
      <c r="B73" s="13" t="s">
        <v>413</v>
      </c>
      <c r="C73" s="13">
        <v>9</v>
      </c>
      <c r="D73" s="13" t="s">
        <v>87</v>
      </c>
      <c r="E73" s="28">
        <v>4.631046754183854E-2</v>
      </c>
      <c r="F73" s="13" t="s">
        <v>1200</v>
      </c>
    </row>
    <row r="74" spans="1:6" x14ac:dyDescent="0.55000000000000004">
      <c r="A74" s="16" t="s">
        <v>270</v>
      </c>
      <c r="B74" s="13" t="s">
        <v>413</v>
      </c>
      <c r="C74" s="13">
        <v>9</v>
      </c>
      <c r="D74" s="13" t="s">
        <v>88</v>
      </c>
      <c r="E74" s="28">
        <v>10.232471328164367</v>
      </c>
      <c r="F74" s="13" t="s">
        <v>1200</v>
      </c>
    </row>
    <row r="75" spans="1:6" x14ac:dyDescent="0.55000000000000004">
      <c r="A75" s="16" t="s">
        <v>246</v>
      </c>
      <c r="B75" s="13" t="s">
        <v>413</v>
      </c>
      <c r="C75" s="13">
        <v>10</v>
      </c>
      <c r="D75" s="13" t="s">
        <v>84</v>
      </c>
      <c r="E75" s="28">
        <v>0.14684852582874564</v>
      </c>
      <c r="F75" s="13" t="s">
        <v>1200</v>
      </c>
    </row>
    <row r="76" spans="1:6" x14ac:dyDescent="0.55000000000000004">
      <c r="A76" s="16" t="s">
        <v>259</v>
      </c>
      <c r="B76" s="13" t="s">
        <v>413</v>
      </c>
      <c r="C76" s="13">
        <v>10</v>
      </c>
      <c r="D76" s="13" t="s">
        <v>87</v>
      </c>
      <c r="E76" s="28">
        <v>9.7262842919025691E-2</v>
      </c>
      <c r="F76" s="13" t="s">
        <v>1200</v>
      </c>
    </row>
    <row r="77" spans="1:6" x14ac:dyDescent="0.55000000000000004">
      <c r="A77" s="16" t="s">
        <v>271</v>
      </c>
      <c r="B77" s="13" t="s">
        <v>413</v>
      </c>
      <c r="C77" s="13">
        <v>10</v>
      </c>
      <c r="D77" s="13" t="s">
        <v>88</v>
      </c>
      <c r="E77" s="28">
        <v>38.274264608433555</v>
      </c>
      <c r="F77" s="13" t="s">
        <v>1200</v>
      </c>
    </row>
    <row r="78" spans="1:6" x14ac:dyDescent="0.55000000000000004">
      <c r="A78" s="16" t="s">
        <v>247</v>
      </c>
      <c r="B78" s="13" t="s">
        <v>413</v>
      </c>
      <c r="C78" s="13">
        <v>11</v>
      </c>
      <c r="D78" s="13" t="s">
        <v>84</v>
      </c>
      <c r="E78" s="28">
        <v>28.857650522191602</v>
      </c>
      <c r="F78" s="13" t="s">
        <v>1200</v>
      </c>
    </row>
    <row r="79" spans="1:6" x14ac:dyDescent="0.55000000000000004">
      <c r="A79" s="16" t="s">
        <v>260</v>
      </c>
      <c r="B79" s="13" t="s">
        <v>413</v>
      </c>
      <c r="C79" s="13">
        <v>11</v>
      </c>
      <c r="D79" s="13" t="s">
        <v>87</v>
      </c>
      <c r="E79" s="28">
        <v>33.255090704965333</v>
      </c>
      <c r="F79" s="13" t="s">
        <v>1200</v>
      </c>
    </row>
    <row r="80" spans="1:6" x14ac:dyDescent="0.55000000000000004">
      <c r="A80" s="16" t="s">
        <v>272</v>
      </c>
      <c r="B80" s="13" t="s">
        <v>413</v>
      </c>
      <c r="C80" s="13">
        <v>11</v>
      </c>
      <c r="D80" s="13" t="s">
        <v>88</v>
      </c>
      <c r="E80" s="28">
        <v>37.05789950812337</v>
      </c>
      <c r="F80" s="13" t="s">
        <v>1200</v>
      </c>
    </row>
    <row r="81" spans="1:6" x14ac:dyDescent="0.55000000000000004">
      <c r="A81" s="16" t="s">
        <v>248</v>
      </c>
      <c r="B81" s="13" t="s">
        <v>413</v>
      </c>
      <c r="C81" s="13">
        <v>12</v>
      </c>
      <c r="D81" s="13" t="s">
        <v>84</v>
      </c>
      <c r="E81" s="28">
        <v>1.2897474725275286</v>
      </c>
      <c r="F81" s="13" t="s">
        <v>1200</v>
      </c>
    </row>
    <row r="82" spans="1:6" x14ac:dyDescent="0.55000000000000004">
      <c r="A82" s="16" t="s">
        <v>261</v>
      </c>
      <c r="B82" s="13" t="s">
        <v>413</v>
      </c>
      <c r="C82" s="13">
        <v>12</v>
      </c>
      <c r="D82" s="13" t="s">
        <v>87</v>
      </c>
      <c r="E82" s="28">
        <v>0.24534441751840388</v>
      </c>
      <c r="F82" s="13" t="s">
        <v>1200</v>
      </c>
    </row>
    <row r="83" spans="1:6" x14ac:dyDescent="0.55000000000000004">
      <c r="A83" s="16" t="s">
        <v>273</v>
      </c>
      <c r="B83" s="13" t="s">
        <v>413</v>
      </c>
      <c r="C83" s="13">
        <v>12</v>
      </c>
      <c r="D83" s="13" t="s">
        <v>88</v>
      </c>
      <c r="E83" s="28">
        <v>0.30038564957821734</v>
      </c>
      <c r="F83" s="13" t="s">
        <v>1200</v>
      </c>
    </row>
    <row r="84" spans="1:6" x14ac:dyDescent="0.55000000000000004">
      <c r="A84" s="16" t="s">
        <v>275</v>
      </c>
      <c r="B84" s="13" t="s">
        <v>201</v>
      </c>
      <c r="C84" s="13">
        <v>12</v>
      </c>
      <c r="D84" s="13" t="s">
        <v>84</v>
      </c>
      <c r="E84" s="28" t="s">
        <v>1199</v>
      </c>
      <c r="F84" s="13" t="s">
        <v>1200</v>
      </c>
    </row>
    <row r="85" spans="1:6" x14ac:dyDescent="0.55000000000000004">
      <c r="A85" s="16" t="s">
        <v>279</v>
      </c>
      <c r="B85" s="13" t="s">
        <v>284</v>
      </c>
      <c r="C85" s="13">
        <v>1</v>
      </c>
      <c r="D85" s="13" t="s">
        <v>73</v>
      </c>
      <c r="E85" s="28">
        <v>5.6860382646991052</v>
      </c>
      <c r="F85" s="13" t="s">
        <v>1201</v>
      </c>
    </row>
    <row r="86" spans="1:6" x14ac:dyDescent="0.55000000000000004">
      <c r="A86" s="16" t="s">
        <v>285</v>
      </c>
      <c r="B86" s="13" t="s">
        <v>284</v>
      </c>
      <c r="C86" s="13">
        <v>1</v>
      </c>
      <c r="D86" s="13" t="s">
        <v>76</v>
      </c>
      <c r="E86" s="28">
        <v>14.436589943852326</v>
      </c>
      <c r="F86" s="13" t="s">
        <v>1201</v>
      </c>
    </row>
    <row r="87" spans="1:6" x14ac:dyDescent="0.55000000000000004">
      <c r="A87" s="16" t="s">
        <v>287</v>
      </c>
      <c r="B87" s="13" t="s">
        <v>284</v>
      </c>
      <c r="C87" s="13">
        <v>1</v>
      </c>
      <c r="D87" s="13" t="s">
        <v>83</v>
      </c>
      <c r="E87" s="28">
        <v>11.490297092575169</v>
      </c>
      <c r="F87" s="13" t="s">
        <v>1201</v>
      </c>
    </row>
    <row r="88" spans="1:6" x14ac:dyDescent="0.55000000000000004">
      <c r="A88" s="16" t="s">
        <v>289</v>
      </c>
      <c r="B88" s="13" t="s">
        <v>284</v>
      </c>
      <c r="C88" s="13">
        <v>1</v>
      </c>
      <c r="D88" s="13" t="s">
        <v>84</v>
      </c>
      <c r="E88" s="28">
        <v>15.820425528028043</v>
      </c>
      <c r="F88" s="13" t="s">
        <v>1201</v>
      </c>
    </row>
    <row r="89" spans="1:6" x14ac:dyDescent="0.55000000000000004">
      <c r="A89" s="16" t="s">
        <v>291</v>
      </c>
      <c r="B89" s="13" t="s">
        <v>284</v>
      </c>
      <c r="C89" s="13">
        <v>1</v>
      </c>
      <c r="D89" s="13" t="s">
        <v>87</v>
      </c>
      <c r="E89" s="28">
        <v>15.328630261283568</v>
      </c>
      <c r="F89" s="13" t="s">
        <v>1201</v>
      </c>
    </row>
    <row r="90" spans="1:6" x14ac:dyDescent="0.55000000000000004">
      <c r="A90" s="16" t="s">
        <v>293</v>
      </c>
      <c r="B90" s="13" t="s">
        <v>284</v>
      </c>
      <c r="C90" s="13">
        <v>1</v>
      </c>
      <c r="D90" s="13" t="s">
        <v>88</v>
      </c>
      <c r="E90" s="28">
        <v>7.2919665336434747</v>
      </c>
      <c r="F90" s="13" t="s">
        <v>1201</v>
      </c>
    </row>
    <row r="91" spans="1:6" x14ac:dyDescent="0.55000000000000004">
      <c r="A91" s="16" t="s">
        <v>295</v>
      </c>
      <c r="B91" s="13" t="s">
        <v>284</v>
      </c>
      <c r="C91" s="13">
        <v>1</v>
      </c>
      <c r="D91" s="13" t="s">
        <v>91</v>
      </c>
      <c r="E91" s="28">
        <v>14.705909844342374</v>
      </c>
      <c r="F91" s="13" t="s">
        <v>1201</v>
      </c>
    </row>
    <row r="92" spans="1:6" x14ac:dyDescent="0.55000000000000004">
      <c r="A92" s="16" t="s">
        <v>297</v>
      </c>
      <c r="B92" s="13" t="s">
        <v>284</v>
      </c>
      <c r="C92" s="13">
        <v>1</v>
      </c>
      <c r="D92" s="13" t="s">
        <v>92</v>
      </c>
      <c r="E92" s="28">
        <v>20.448742683374519</v>
      </c>
      <c r="F92" s="13" t="s">
        <v>1201</v>
      </c>
    </row>
    <row r="93" spans="1:6" x14ac:dyDescent="0.55000000000000004">
      <c r="A93" s="16" t="s">
        <v>299</v>
      </c>
      <c r="B93" s="13" t="s">
        <v>284</v>
      </c>
      <c r="C93" s="13">
        <v>2</v>
      </c>
      <c r="D93" s="13" t="s">
        <v>73</v>
      </c>
      <c r="E93" s="28">
        <v>10.833199538245259</v>
      </c>
      <c r="F93" s="13" t="s">
        <v>1201</v>
      </c>
    </row>
    <row r="94" spans="1:6" x14ac:dyDescent="0.55000000000000004">
      <c r="A94" s="16" t="s">
        <v>301</v>
      </c>
      <c r="B94" s="13" t="s">
        <v>284</v>
      </c>
      <c r="C94" s="13">
        <v>2</v>
      </c>
      <c r="D94" s="13" t="s">
        <v>76</v>
      </c>
      <c r="E94" s="28">
        <v>10.531240710560819</v>
      </c>
      <c r="F94" s="13" t="s">
        <v>1201</v>
      </c>
    </row>
    <row r="95" spans="1:6" x14ac:dyDescent="0.55000000000000004">
      <c r="A95" s="16" t="s">
        <v>303</v>
      </c>
      <c r="B95" s="13" t="s">
        <v>284</v>
      </c>
      <c r="C95" s="13">
        <v>2</v>
      </c>
      <c r="D95" s="13" t="s">
        <v>83</v>
      </c>
      <c r="E95" s="28">
        <v>8.6352052313624537</v>
      </c>
      <c r="F95" s="13" t="s">
        <v>1201</v>
      </c>
    </row>
    <row r="96" spans="1:6" x14ac:dyDescent="0.55000000000000004">
      <c r="A96" s="16" t="s">
        <v>307</v>
      </c>
      <c r="B96" s="13" t="s">
        <v>284</v>
      </c>
      <c r="C96" s="13">
        <v>2</v>
      </c>
      <c r="D96" s="13" t="s">
        <v>87</v>
      </c>
      <c r="E96" s="28">
        <v>21.015441594227823</v>
      </c>
      <c r="F96" s="13" t="s">
        <v>1201</v>
      </c>
    </row>
    <row r="97" spans="1:6" x14ac:dyDescent="0.55000000000000004">
      <c r="A97" s="16" t="s">
        <v>309</v>
      </c>
      <c r="B97" s="13" t="s">
        <v>284</v>
      </c>
      <c r="C97" s="13">
        <v>2</v>
      </c>
      <c r="D97" s="13" t="s">
        <v>88</v>
      </c>
      <c r="E97" s="28">
        <v>19.746973335712521</v>
      </c>
      <c r="F97" s="13" t="s">
        <v>1201</v>
      </c>
    </row>
    <row r="98" spans="1:6" x14ac:dyDescent="0.55000000000000004">
      <c r="A98" s="16" t="s">
        <v>315</v>
      </c>
      <c r="B98" s="13" t="s">
        <v>284</v>
      </c>
      <c r="C98" s="13">
        <v>3</v>
      </c>
      <c r="D98" s="13" t="s">
        <v>73</v>
      </c>
      <c r="E98" s="28">
        <v>9.3634878861487998</v>
      </c>
      <c r="F98" s="13" t="s">
        <v>1201</v>
      </c>
    </row>
    <row r="99" spans="1:6" x14ac:dyDescent="0.55000000000000004">
      <c r="A99" s="16" t="s">
        <v>319</v>
      </c>
      <c r="B99" s="13" t="s">
        <v>284</v>
      </c>
      <c r="C99" s="13">
        <v>3</v>
      </c>
      <c r="D99" s="13" t="s">
        <v>83</v>
      </c>
      <c r="E99" s="28">
        <v>9.8509477160473917</v>
      </c>
      <c r="F99" s="13" t="s">
        <v>1201</v>
      </c>
    </row>
    <row r="100" spans="1:6" x14ac:dyDescent="0.55000000000000004">
      <c r="A100" s="16" t="s">
        <v>321</v>
      </c>
      <c r="B100" s="13" t="s">
        <v>284</v>
      </c>
      <c r="C100" s="13">
        <v>3</v>
      </c>
      <c r="D100" s="13" t="s">
        <v>84</v>
      </c>
      <c r="E100" s="28">
        <v>18.059543007300185</v>
      </c>
      <c r="F100" s="13" t="s">
        <v>1201</v>
      </c>
    </row>
    <row r="101" spans="1:6" x14ac:dyDescent="0.55000000000000004">
      <c r="A101" s="16" t="s">
        <v>323</v>
      </c>
      <c r="B101" s="13" t="s">
        <v>284</v>
      </c>
      <c r="C101" s="13">
        <v>3</v>
      </c>
      <c r="D101" s="13" t="s">
        <v>87</v>
      </c>
      <c r="E101" s="28">
        <v>21.747074946279479</v>
      </c>
      <c r="F101" s="13" t="s">
        <v>1201</v>
      </c>
    </row>
    <row r="102" spans="1:6" x14ac:dyDescent="0.55000000000000004">
      <c r="A102" s="16" t="s">
        <v>327</v>
      </c>
      <c r="B102" s="13" t="s">
        <v>284</v>
      </c>
      <c r="C102" s="13">
        <v>3</v>
      </c>
      <c r="D102" s="13" t="s">
        <v>91</v>
      </c>
      <c r="E102" s="28">
        <v>6.3745381874866212</v>
      </c>
      <c r="F102" s="13" t="s">
        <v>1201</v>
      </c>
    </row>
    <row r="103" spans="1:6" x14ac:dyDescent="0.55000000000000004">
      <c r="A103" s="16" t="s">
        <v>330</v>
      </c>
      <c r="B103" s="13" t="s">
        <v>284</v>
      </c>
      <c r="C103" s="13">
        <v>3</v>
      </c>
      <c r="D103" s="13" t="s">
        <v>92</v>
      </c>
      <c r="E103" s="28">
        <v>10.337359331538885</v>
      </c>
      <c r="F103" s="13" t="s">
        <v>1201</v>
      </c>
    </row>
    <row r="104" spans="1:6" x14ac:dyDescent="0.55000000000000004">
      <c r="A104" s="16" t="s">
        <v>332</v>
      </c>
      <c r="B104" s="13" t="s">
        <v>284</v>
      </c>
      <c r="C104" s="13">
        <v>4</v>
      </c>
      <c r="D104" s="13" t="s">
        <v>73</v>
      </c>
      <c r="E104" s="28">
        <v>4.0334625630376673</v>
      </c>
      <c r="F104" s="13" t="s">
        <v>1201</v>
      </c>
    </row>
    <row r="105" spans="1:6" x14ac:dyDescent="0.55000000000000004">
      <c r="A105" s="16" t="s">
        <v>334</v>
      </c>
      <c r="B105" s="13" t="s">
        <v>284</v>
      </c>
      <c r="C105" s="13">
        <v>4</v>
      </c>
      <c r="D105" s="13" t="s">
        <v>76</v>
      </c>
      <c r="E105" s="28">
        <v>7.9969032437812899</v>
      </c>
      <c r="F105" s="13" t="s">
        <v>1201</v>
      </c>
    </row>
    <row r="106" spans="1:6" x14ac:dyDescent="0.55000000000000004">
      <c r="A106" s="16" t="s">
        <v>336</v>
      </c>
      <c r="B106" s="13" t="s">
        <v>284</v>
      </c>
      <c r="C106" s="13">
        <v>4</v>
      </c>
      <c r="D106" s="13" t="s">
        <v>83</v>
      </c>
      <c r="E106" s="28">
        <v>9.1511505173915513</v>
      </c>
      <c r="F106" s="13" t="s">
        <v>1201</v>
      </c>
    </row>
    <row r="107" spans="1:6" x14ac:dyDescent="0.55000000000000004">
      <c r="A107" s="16" t="s">
        <v>338</v>
      </c>
      <c r="B107" s="13" t="s">
        <v>284</v>
      </c>
      <c r="C107" s="13">
        <v>4</v>
      </c>
      <c r="D107" s="13" t="s">
        <v>84</v>
      </c>
      <c r="E107" s="28">
        <v>16.287760640002354</v>
      </c>
      <c r="F107" s="13" t="s">
        <v>1201</v>
      </c>
    </row>
    <row r="108" spans="1:6" x14ac:dyDescent="0.55000000000000004">
      <c r="A108" s="16" t="s">
        <v>340</v>
      </c>
      <c r="B108" s="13" t="s">
        <v>284</v>
      </c>
      <c r="C108" s="13">
        <v>4</v>
      </c>
      <c r="D108" s="13" t="s">
        <v>87</v>
      </c>
      <c r="E108" s="28">
        <v>7.6456992996256883</v>
      </c>
      <c r="F108" s="13" t="s">
        <v>1201</v>
      </c>
    </row>
    <row r="109" spans="1:6" x14ac:dyDescent="0.55000000000000004">
      <c r="A109" s="16" t="s">
        <v>342</v>
      </c>
      <c r="B109" s="13" t="s">
        <v>284</v>
      </c>
      <c r="C109" s="13">
        <v>4</v>
      </c>
      <c r="D109" s="13" t="s">
        <v>88</v>
      </c>
      <c r="E109" s="28">
        <v>4.9452917196181749</v>
      </c>
      <c r="F109" s="13" t="s">
        <v>1201</v>
      </c>
    </row>
    <row r="110" spans="1:6" x14ac:dyDescent="0.55000000000000004">
      <c r="A110" s="16" t="s">
        <v>346</v>
      </c>
      <c r="B110" s="13" t="s">
        <v>284</v>
      </c>
      <c r="C110" s="13">
        <v>4</v>
      </c>
      <c r="D110" s="13" t="s">
        <v>92</v>
      </c>
      <c r="E110" s="28">
        <v>14.92016323111198</v>
      </c>
      <c r="F110" s="13" t="s">
        <v>1201</v>
      </c>
    </row>
    <row r="111" spans="1:6" x14ac:dyDescent="0.55000000000000004">
      <c r="A111" s="16" t="s">
        <v>348</v>
      </c>
      <c r="B111" s="13" t="s">
        <v>284</v>
      </c>
      <c r="C111" s="13">
        <v>5</v>
      </c>
      <c r="D111" s="13" t="s">
        <v>73</v>
      </c>
      <c r="E111" s="28">
        <v>3.1699748523106761</v>
      </c>
      <c r="F111" s="13" t="s">
        <v>1201</v>
      </c>
    </row>
    <row r="112" spans="1:6" x14ac:dyDescent="0.55000000000000004">
      <c r="A112" s="16" t="s">
        <v>350</v>
      </c>
      <c r="B112" s="13" t="s">
        <v>284</v>
      </c>
      <c r="C112" s="13">
        <v>5</v>
      </c>
      <c r="D112" s="13" t="s">
        <v>76</v>
      </c>
      <c r="E112" s="28">
        <v>4.8344810458767977</v>
      </c>
      <c r="F112" s="13" t="s">
        <v>1201</v>
      </c>
    </row>
    <row r="113" spans="1:6" x14ac:dyDescent="0.55000000000000004">
      <c r="A113" s="16" t="s">
        <v>352</v>
      </c>
      <c r="B113" s="13" t="s">
        <v>284</v>
      </c>
      <c r="C113" s="13">
        <v>5</v>
      </c>
      <c r="D113" s="13" t="s">
        <v>83</v>
      </c>
      <c r="E113" s="28">
        <v>9.6843816517970662</v>
      </c>
      <c r="F113" s="13" t="s">
        <v>1201</v>
      </c>
    </row>
    <row r="114" spans="1:6" x14ac:dyDescent="0.55000000000000004">
      <c r="A114" s="16" t="s">
        <v>354</v>
      </c>
      <c r="B114" s="13" t="s">
        <v>284</v>
      </c>
      <c r="C114" s="13">
        <v>5</v>
      </c>
      <c r="D114" s="13" t="s">
        <v>84</v>
      </c>
      <c r="E114" s="28">
        <v>14.967908137623962</v>
      </c>
      <c r="F114" s="13" t="s">
        <v>1201</v>
      </c>
    </row>
    <row r="115" spans="1:6" x14ac:dyDescent="0.55000000000000004">
      <c r="A115" s="16" t="s">
        <v>356</v>
      </c>
      <c r="B115" s="13" t="s">
        <v>284</v>
      </c>
      <c r="C115" s="13">
        <v>5</v>
      </c>
      <c r="D115" s="13" t="s">
        <v>87</v>
      </c>
      <c r="E115" s="28">
        <v>5.2668665445716663</v>
      </c>
      <c r="F115" s="13" t="s">
        <v>1201</v>
      </c>
    </row>
    <row r="116" spans="1:6" x14ac:dyDescent="0.55000000000000004">
      <c r="A116" s="16" t="s">
        <v>358</v>
      </c>
      <c r="B116" s="13" t="s">
        <v>284</v>
      </c>
      <c r="C116" s="13">
        <v>5</v>
      </c>
      <c r="D116" s="13" t="s">
        <v>88</v>
      </c>
      <c r="E116" s="28">
        <v>10.650606907976497</v>
      </c>
      <c r="F116" s="13" t="s">
        <v>1201</v>
      </c>
    </row>
    <row r="117" spans="1:6" x14ac:dyDescent="0.55000000000000004">
      <c r="A117" s="16" t="s">
        <v>360</v>
      </c>
      <c r="B117" s="13" t="s">
        <v>284</v>
      </c>
      <c r="C117" s="13">
        <v>5</v>
      </c>
      <c r="D117" s="13" t="s">
        <v>91</v>
      </c>
      <c r="E117" s="28">
        <v>9.31896175844469</v>
      </c>
      <c r="F117" s="13" t="s">
        <v>1201</v>
      </c>
    </row>
    <row r="118" spans="1:6" x14ac:dyDescent="0.55000000000000004">
      <c r="A118" s="16" t="s">
        <v>364</v>
      </c>
      <c r="B118" s="13" t="s">
        <v>284</v>
      </c>
      <c r="C118" s="13">
        <v>6</v>
      </c>
      <c r="D118" s="13" t="s">
        <v>73</v>
      </c>
      <c r="E118" s="28">
        <v>4.0669281610775814</v>
      </c>
      <c r="F118" s="13" t="s">
        <v>1201</v>
      </c>
    </row>
    <row r="119" spans="1:6" x14ac:dyDescent="0.55000000000000004">
      <c r="A119" s="16" t="s">
        <v>366</v>
      </c>
      <c r="B119" s="13" t="s">
        <v>284</v>
      </c>
      <c r="C119" s="13">
        <v>6</v>
      </c>
      <c r="D119" s="13" t="s">
        <v>76</v>
      </c>
      <c r="E119" s="28">
        <v>23.023274120388056</v>
      </c>
      <c r="F119" s="13" t="s">
        <v>1201</v>
      </c>
    </row>
    <row r="120" spans="1:6" x14ac:dyDescent="0.55000000000000004">
      <c r="A120" s="16" t="s">
        <v>372</v>
      </c>
      <c r="B120" s="13" t="s">
        <v>284</v>
      </c>
      <c r="C120" s="13">
        <v>6</v>
      </c>
      <c r="D120" s="13" t="s">
        <v>87</v>
      </c>
      <c r="E120" s="28">
        <v>15.133397548025913</v>
      </c>
      <c r="F120" s="13" t="s">
        <v>1201</v>
      </c>
    </row>
    <row r="121" spans="1:6" x14ac:dyDescent="0.55000000000000004">
      <c r="A121" s="16" t="s">
        <v>374</v>
      </c>
      <c r="B121" s="13" t="s">
        <v>284</v>
      </c>
      <c r="C121" s="13">
        <v>6</v>
      </c>
      <c r="D121" s="13" t="s">
        <v>88</v>
      </c>
      <c r="E121" s="28">
        <v>11.630115145449411</v>
      </c>
      <c r="F121" s="13" t="s">
        <v>1201</v>
      </c>
    </row>
    <row r="122" spans="1:6" x14ac:dyDescent="0.55000000000000004">
      <c r="A122" s="16" t="s">
        <v>376</v>
      </c>
      <c r="B122" s="13" t="s">
        <v>284</v>
      </c>
      <c r="C122" s="13">
        <v>6</v>
      </c>
      <c r="D122" s="13" t="s">
        <v>91</v>
      </c>
      <c r="E122" s="28">
        <v>16.683124710092187</v>
      </c>
      <c r="F122" s="13" t="s">
        <v>1201</v>
      </c>
    </row>
    <row r="123" spans="1:6" x14ac:dyDescent="0.55000000000000004">
      <c r="A123" s="16" t="s">
        <v>378</v>
      </c>
      <c r="B123" s="13" t="s">
        <v>284</v>
      </c>
      <c r="C123" s="13">
        <v>6</v>
      </c>
      <c r="D123" s="13" t="s">
        <v>92</v>
      </c>
      <c r="E123" s="28">
        <v>21.855282075955376</v>
      </c>
      <c r="F123" s="13" t="s">
        <v>1201</v>
      </c>
    </row>
    <row r="124" spans="1:6" x14ac:dyDescent="0.55000000000000004">
      <c r="A124" s="16" t="s">
        <v>380</v>
      </c>
      <c r="B124" s="13" t="s">
        <v>284</v>
      </c>
      <c r="C124" s="13">
        <v>7</v>
      </c>
      <c r="D124" s="13" t="s">
        <v>73</v>
      </c>
      <c r="E124" s="28">
        <v>6.6557642377374204</v>
      </c>
      <c r="F124" s="13" t="s">
        <v>1201</v>
      </c>
    </row>
    <row r="125" spans="1:6" x14ac:dyDescent="0.55000000000000004">
      <c r="A125" s="16" t="s">
        <v>382</v>
      </c>
      <c r="B125" s="13" t="s">
        <v>284</v>
      </c>
      <c r="C125" s="13">
        <v>7</v>
      </c>
      <c r="D125" s="13" t="s">
        <v>76</v>
      </c>
      <c r="E125" s="28">
        <v>15.655969030808578</v>
      </c>
      <c r="F125" s="13" t="s">
        <v>1201</v>
      </c>
    </row>
    <row r="126" spans="1:6" x14ac:dyDescent="0.55000000000000004">
      <c r="A126" s="16" t="s">
        <v>386</v>
      </c>
      <c r="B126" s="13" t="s">
        <v>284</v>
      </c>
      <c r="C126" s="13">
        <v>7</v>
      </c>
      <c r="D126" s="13" t="s">
        <v>84</v>
      </c>
      <c r="E126" s="28">
        <v>22.305875826755845</v>
      </c>
      <c r="F126" s="13" t="s">
        <v>1201</v>
      </c>
    </row>
    <row r="127" spans="1:6" x14ac:dyDescent="0.55000000000000004">
      <c r="A127" s="16" t="s">
        <v>388</v>
      </c>
      <c r="B127" s="13" t="s">
        <v>284</v>
      </c>
      <c r="C127" s="13">
        <v>7</v>
      </c>
      <c r="D127" s="13" t="s">
        <v>87</v>
      </c>
      <c r="E127" s="28">
        <v>17.873622020424943</v>
      </c>
      <c r="F127" s="13" t="s">
        <v>1201</v>
      </c>
    </row>
    <row r="128" spans="1:6" x14ac:dyDescent="0.55000000000000004">
      <c r="A128" s="16" t="s">
        <v>396</v>
      </c>
      <c r="B128" s="13" t="s">
        <v>284</v>
      </c>
      <c r="C128" s="13">
        <v>8</v>
      </c>
      <c r="D128" s="13" t="s">
        <v>73</v>
      </c>
      <c r="E128" s="28">
        <v>7.8079930505456794</v>
      </c>
      <c r="F128" s="13" t="s">
        <v>1201</v>
      </c>
    </row>
    <row r="129" spans="1:6" x14ac:dyDescent="0.55000000000000004">
      <c r="A129" s="16" t="s">
        <v>398</v>
      </c>
      <c r="B129" s="13" t="s">
        <v>284</v>
      </c>
      <c r="C129" s="13">
        <v>8</v>
      </c>
      <c r="D129" s="13" t="s">
        <v>76</v>
      </c>
      <c r="E129" s="28">
        <v>8.5771879564671494</v>
      </c>
      <c r="F129" s="13" t="s">
        <v>1201</v>
      </c>
    </row>
    <row r="130" spans="1:6" x14ac:dyDescent="0.55000000000000004">
      <c r="A130" s="16" t="s">
        <v>400</v>
      </c>
      <c r="B130" s="13" t="s">
        <v>284</v>
      </c>
      <c r="C130" s="13">
        <v>8</v>
      </c>
      <c r="D130" s="13" t="s">
        <v>83</v>
      </c>
      <c r="E130" s="28">
        <v>18.018259625055553</v>
      </c>
      <c r="F130" s="13" t="s">
        <v>1201</v>
      </c>
    </row>
    <row r="131" spans="1:6" x14ac:dyDescent="0.55000000000000004">
      <c r="A131" s="16" t="s">
        <v>406</v>
      </c>
      <c r="B131" s="13" t="s">
        <v>284</v>
      </c>
      <c r="C131" s="13">
        <v>8</v>
      </c>
      <c r="D131" s="13" t="s">
        <v>88</v>
      </c>
      <c r="E131" s="28">
        <v>13.835193828220968</v>
      </c>
      <c r="F131" s="13" t="s">
        <v>1201</v>
      </c>
    </row>
    <row r="132" spans="1:6" x14ac:dyDescent="0.55000000000000004">
      <c r="A132" s="16" t="s">
        <v>408</v>
      </c>
      <c r="B132" s="13" t="s">
        <v>284</v>
      </c>
      <c r="C132" s="13">
        <v>8</v>
      </c>
      <c r="D132" s="13" t="s">
        <v>91</v>
      </c>
      <c r="E132" s="28">
        <v>22.300788913116378</v>
      </c>
      <c r="F132" s="13" t="s">
        <v>1201</v>
      </c>
    </row>
    <row r="133" spans="1:6" x14ac:dyDescent="0.55000000000000004">
      <c r="A133" s="29" t="s">
        <v>70</v>
      </c>
      <c r="B133" s="13" t="s">
        <v>77</v>
      </c>
      <c r="C133" s="13">
        <v>5</v>
      </c>
      <c r="D133" s="13" t="s">
        <v>73</v>
      </c>
      <c r="E133" s="28">
        <v>0.27141110546592473</v>
      </c>
      <c r="F133" s="13" t="s">
        <v>1202</v>
      </c>
    </row>
    <row r="134" spans="1:6" x14ac:dyDescent="0.55000000000000004">
      <c r="A134" s="29" t="s">
        <v>81</v>
      </c>
      <c r="B134" s="13" t="s">
        <v>77</v>
      </c>
      <c r="C134" s="13">
        <v>5</v>
      </c>
      <c r="D134" s="13" t="s">
        <v>76</v>
      </c>
      <c r="E134" s="28">
        <v>1.3375054437965579</v>
      </c>
      <c r="F134" s="13" t="s">
        <v>1202</v>
      </c>
    </row>
    <row r="135" spans="1:6" x14ac:dyDescent="0.55000000000000004">
      <c r="A135" s="29" t="s">
        <v>85</v>
      </c>
      <c r="B135" s="13" t="s">
        <v>77</v>
      </c>
      <c r="C135" s="13">
        <v>5</v>
      </c>
      <c r="D135" s="13" t="s">
        <v>83</v>
      </c>
      <c r="E135" s="28">
        <v>0.20028496372193968</v>
      </c>
      <c r="F135" s="13" t="s">
        <v>1202</v>
      </c>
    </row>
    <row r="136" spans="1:6" x14ac:dyDescent="0.55000000000000004">
      <c r="A136" s="29" t="s">
        <v>89</v>
      </c>
      <c r="B136" s="13" t="s">
        <v>77</v>
      </c>
      <c r="C136" s="13">
        <v>5</v>
      </c>
      <c r="D136" s="13" t="s">
        <v>84</v>
      </c>
      <c r="E136" s="28">
        <v>0.34027876836863769</v>
      </c>
      <c r="F136" s="13" t="s">
        <v>1202</v>
      </c>
    </row>
    <row r="137" spans="1:6" x14ac:dyDescent="0.55000000000000004">
      <c r="A137" s="29" t="s">
        <v>93</v>
      </c>
      <c r="B137" s="13" t="s">
        <v>77</v>
      </c>
      <c r="C137" s="13">
        <v>5</v>
      </c>
      <c r="D137" s="13" t="s">
        <v>87</v>
      </c>
      <c r="E137" s="28">
        <v>2.0378381006637412</v>
      </c>
      <c r="F137" s="13" t="s">
        <v>1202</v>
      </c>
    </row>
    <row r="138" spans="1:6" x14ac:dyDescent="0.55000000000000004">
      <c r="A138" s="29" t="s">
        <v>97</v>
      </c>
      <c r="B138" s="13" t="s">
        <v>77</v>
      </c>
      <c r="C138" s="13">
        <v>5</v>
      </c>
      <c r="D138" s="13" t="s">
        <v>88</v>
      </c>
      <c r="E138" s="28">
        <v>1.4966526276439578</v>
      </c>
      <c r="F138" s="13" t="s">
        <v>1202</v>
      </c>
    </row>
    <row r="139" spans="1:6" x14ac:dyDescent="0.55000000000000004">
      <c r="A139" s="29" t="s">
        <v>101</v>
      </c>
      <c r="B139" s="13" t="s">
        <v>77</v>
      </c>
      <c r="C139" s="13">
        <v>5</v>
      </c>
      <c r="D139" s="13" t="s">
        <v>91</v>
      </c>
      <c r="E139" s="28">
        <v>2.0819625005787574</v>
      </c>
      <c r="F139" s="13" t="s">
        <v>1202</v>
      </c>
    </row>
    <row r="140" spans="1:6" x14ac:dyDescent="0.55000000000000004">
      <c r="A140" s="29" t="s">
        <v>105</v>
      </c>
      <c r="B140" s="13" t="s">
        <v>77</v>
      </c>
      <c r="C140" s="13">
        <v>5</v>
      </c>
      <c r="D140" s="13" t="s">
        <v>92</v>
      </c>
      <c r="E140" s="28">
        <v>3.9015505391292225</v>
      </c>
      <c r="F140" s="13" t="s">
        <v>1202</v>
      </c>
    </row>
    <row r="141" spans="1:6" x14ac:dyDescent="0.55000000000000004">
      <c r="A141" s="16" t="s">
        <v>109</v>
      </c>
      <c r="B141" s="13" t="s">
        <v>77</v>
      </c>
      <c r="C141" s="13">
        <v>6</v>
      </c>
      <c r="D141" s="13" t="s">
        <v>73</v>
      </c>
      <c r="E141" s="28">
        <v>1.9303560616050117</v>
      </c>
      <c r="F141" s="13" t="s">
        <v>1202</v>
      </c>
    </row>
    <row r="142" spans="1:6" x14ac:dyDescent="0.55000000000000004">
      <c r="A142" s="16" t="s">
        <v>111</v>
      </c>
      <c r="B142" s="13" t="s">
        <v>77</v>
      </c>
      <c r="C142" s="13">
        <v>6</v>
      </c>
      <c r="D142" s="13" t="s">
        <v>76</v>
      </c>
      <c r="E142" s="28">
        <v>3.2956010631358139</v>
      </c>
      <c r="F142" s="13" t="s">
        <v>1202</v>
      </c>
    </row>
    <row r="143" spans="1:6" x14ac:dyDescent="0.55000000000000004">
      <c r="A143" s="16" t="s">
        <v>113</v>
      </c>
      <c r="B143" s="13" t="s">
        <v>77</v>
      </c>
      <c r="C143" s="13">
        <v>6</v>
      </c>
      <c r="D143" s="13" t="s">
        <v>83</v>
      </c>
      <c r="E143" s="28">
        <v>4.1470514974589738</v>
      </c>
      <c r="F143" s="13" t="s">
        <v>1202</v>
      </c>
    </row>
    <row r="144" spans="1:6" x14ac:dyDescent="0.55000000000000004">
      <c r="A144" s="16" t="s">
        <v>115</v>
      </c>
      <c r="B144" s="13" t="s">
        <v>77</v>
      </c>
      <c r="C144" s="13">
        <v>6</v>
      </c>
      <c r="D144" s="13" t="s">
        <v>84</v>
      </c>
      <c r="E144" s="28">
        <v>0.75778573382753156</v>
      </c>
      <c r="F144" s="13" t="s">
        <v>1202</v>
      </c>
    </row>
    <row r="145" spans="1:6" x14ac:dyDescent="0.55000000000000004">
      <c r="A145" s="16" t="s">
        <v>117</v>
      </c>
      <c r="B145" s="13" t="s">
        <v>77</v>
      </c>
      <c r="C145" s="13">
        <v>6</v>
      </c>
      <c r="D145" s="13" t="s">
        <v>87</v>
      </c>
      <c r="E145" s="28">
        <v>0.19124510881289047</v>
      </c>
      <c r="F145" s="13" t="s">
        <v>1202</v>
      </c>
    </row>
    <row r="146" spans="1:6" x14ac:dyDescent="0.55000000000000004">
      <c r="A146" s="16" t="s">
        <v>119</v>
      </c>
      <c r="B146" s="13" t="s">
        <v>77</v>
      </c>
      <c r="C146" s="13">
        <v>6</v>
      </c>
      <c r="D146" s="13" t="s">
        <v>88</v>
      </c>
      <c r="E146" s="28">
        <v>0.4665267377082607</v>
      </c>
      <c r="F146" s="13" t="s">
        <v>1202</v>
      </c>
    </row>
    <row r="147" spans="1:6" x14ac:dyDescent="0.55000000000000004">
      <c r="A147" s="16" t="s">
        <v>121</v>
      </c>
      <c r="B147" s="13" t="s">
        <v>77</v>
      </c>
      <c r="C147" s="13">
        <v>6</v>
      </c>
      <c r="D147" s="13" t="s">
        <v>91</v>
      </c>
      <c r="E147" s="28">
        <v>2.5827944734181321</v>
      </c>
      <c r="F147" s="13" t="s">
        <v>1202</v>
      </c>
    </row>
    <row r="148" spans="1:6" x14ac:dyDescent="0.55000000000000004">
      <c r="A148" s="16" t="s">
        <v>123</v>
      </c>
      <c r="B148" s="13" t="s">
        <v>77</v>
      </c>
      <c r="C148" s="13">
        <v>6</v>
      </c>
      <c r="D148" s="13" t="s">
        <v>92</v>
      </c>
      <c r="E148" s="28">
        <v>5.8901210743951502</v>
      </c>
      <c r="F148" s="13" t="s">
        <v>1202</v>
      </c>
    </row>
    <row r="149" spans="1:6" x14ac:dyDescent="0.55000000000000004">
      <c r="A149" s="16" t="s">
        <v>125</v>
      </c>
      <c r="B149" s="13" t="s">
        <v>77</v>
      </c>
      <c r="C149" s="13">
        <v>7</v>
      </c>
      <c r="D149" s="13" t="s">
        <v>73</v>
      </c>
      <c r="E149" s="28">
        <v>0.49957134185890339</v>
      </c>
      <c r="F149" s="13" t="s">
        <v>1202</v>
      </c>
    </row>
    <row r="150" spans="1:6" x14ac:dyDescent="0.55000000000000004">
      <c r="A150" s="16" t="s">
        <v>127</v>
      </c>
      <c r="B150" s="13" t="s">
        <v>77</v>
      </c>
      <c r="C150" s="13">
        <v>7</v>
      </c>
      <c r="D150" s="13" t="s">
        <v>76</v>
      </c>
      <c r="E150" s="28">
        <v>2.4601937350639993</v>
      </c>
      <c r="F150" s="13" t="s">
        <v>1202</v>
      </c>
    </row>
    <row r="151" spans="1:6" x14ac:dyDescent="0.55000000000000004">
      <c r="A151" s="16" t="s">
        <v>129</v>
      </c>
      <c r="B151" s="13" t="s">
        <v>77</v>
      </c>
      <c r="C151" s="13">
        <v>7</v>
      </c>
      <c r="D151" s="13" t="s">
        <v>83</v>
      </c>
      <c r="E151" s="28">
        <v>7.1158204466881383</v>
      </c>
      <c r="F151" s="13" t="s">
        <v>1202</v>
      </c>
    </row>
    <row r="152" spans="1:6" x14ac:dyDescent="0.55000000000000004">
      <c r="A152" s="16" t="s">
        <v>131</v>
      </c>
      <c r="B152" s="13" t="s">
        <v>77</v>
      </c>
      <c r="C152" s="13">
        <v>7</v>
      </c>
      <c r="D152" s="13" t="s">
        <v>84</v>
      </c>
      <c r="E152" s="28">
        <v>0.19541084139605858</v>
      </c>
      <c r="F152" s="13" t="s">
        <v>1202</v>
      </c>
    </row>
    <row r="153" spans="1:6" x14ac:dyDescent="0.55000000000000004">
      <c r="A153" s="16" t="s">
        <v>133</v>
      </c>
      <c r="B153" s="13" t="s">
        <v>77</v>
      </c>
      <c r="C153" s="13">
        <v>7</v>
      </c>
      <c r="D153" s="13" t="s">
        <v>87</v>
      </c>
      <c r="E153" s="28">
        <v>0.17504804120675713</v>
      </c>
      <c r="F153" s="13" t="s">
        <v>1202</v>
      </c>
    </row>
    <row r="154" spans="1:6" x14ac:dyDescent="0.55000000000000004">
      <c r="A154" s="16" t="s">
        <v>135</v>
      </c>
      <c r="B154" s="13" t="s">
        <v>77</v>
      </c>
      <c r="C154" s="13">
        <v>7</v>
      </c>
      <c r="D154" s="13" t="s">
        <v>88</v>
      </c>
      <c r="E154" s="28">
        <v>2.3547761583637739</v>
      </c>
      <c r="F154" s="13" t="s">
        <v>1202</v>
      </c>
    </row>
    <row r="155" spans="1:6" x14ac:dyDescent="0.55000000000000004">
      <c r="A155" s="16" t="s">
        <v>137</v>
      </c>
      <c r="B155" s="13" t="s">
        <v>77</v>
      </c>
      <c r="C155" s="13">
        <v>7</v>
      </c>
      <c r="D155" s="13" t="s">
        <v>91</v>
      </c>
      <c r="E155" s="28">
        <v>3.5926156234432001</v>
      </c>
      <c r="F155" s="13" t="s">
        <v>1202</v>
      </c>
    </row>
    <row r="156" spans="1:6" x14ac:dyDescent="0.55000000000000004">
      <c r="A156" s="16" t="s">
        <v>139</v>
      </c>
      <c r="B156" s="13" t="s">
        <v>77</v>
      </c>
      <c r="C156" s="13">
        <v>7</v>
      </c>
      <c r="D156" s="13" t="s">
        <v>92</v>
      </c>
      <c r="E156" s="28">
        <v>10.499952339814438</v>
      </c>
      <c r="F156" s="13" t="s">
        <v>1202</v>
      </c>
    </row>
    <row r="157" spans="1:6" x14ac:dyDescent="0.55000000000000004">
      <c r="A157" s="16" t="s">
        <v>141</v>
      </c>
      <c r="B157" s="13" t="s">
        <v>77</v>
      </c>
      <c r="C157" s="13">
        <v>8</v>
      </c>
      <c r="D157" s="13" t="s">
        <v>73</v>
      </c>
      <c r="E157" s="28">
        <v>5.7248463673417405</v>
      </c>
      <c r="F157" s="13" t="s">
        <v>1202</v>
      </c>
    </row>
    <row r="158" spans="1:6" x14ac:dyDescent="0.55000000000000004">
      <c r="A158" s="16" t="s">
        <v>143</v>
      </c>
      <c r="B158" s="13" t="s">
        <v>77</v>
      </c>
      <c r="C158" s="13">
        <v>8</v>
      </c>
      <c r="D158" s="13" t="s">
        <v>76</v>
      </c>
      <c r="E158" s="28">
        <v>5.5566784870546782</v>
      </c>
      <c r="F158" s="13" t="s">
        <v>1202</v>
      </c>
    </row>
    <row r="159" spans="1:6" x14ac:dyDescent="0.55000000000000004">
      <c r="A159" s="16" t="s">
        <v>145</v>
      </c>
      <c r="B159" s="13" t="s">
        <v>77</v>
      </c>
      <c r="C159" s="13">
        <v>8</v>
      </c>
      <c r="D159" s="13" t="s">
        <v>83</v>
      </c>
      <c r="E159" s="28">
        <v>0.54534271523491951</v>
      </c>
      <c r="F159" s="13" t="s">
        <v>1202</v>
      </c>
    </row>
    <row r="160" spans="1:6" x14ac:dyDescent="0.55000000000000004">
      <c r="A160" s="16" t="s">
        <v>147</v>
      </c>
      <c r="B160" s="13" t="s">
        <v>77</v>
      </c>
      <c r="C160" s="13">
        <v>8</v>
      </c>
      <c r="D160" s="13" t="s">
        <v>84</v>
      </c>
      <c r="E160" s="28">
        <v>1.2097944724556662</v>
      </c>
      <c r="F160" s="13" t="s">
        <v>1202</v>
      </c>
    </row>
    <row r="161" spans="1:6" x14ac:dyDescent="0.55000000000000004">
      <c r="A161" s="16" t="s">
        <v>149</v>
      </c>
      <c r="B161" s="13" t="s">
        <v>77</v>
      </c>
      <c r="C161" s="13">
        <v>8</v>
      </c>
      <c r="D161" s="13" t="s">
        <v>87</v>
      </c>
      <c r="E161" s="28">
        <v>0.58335196524516519</v>
      </c>
      <c r="F161" s="13" t="s">
        <v>1202</v>
      </c>
    </row>
    <row r="162" spans="1:6" x14ac:dyDescent="0.55000000000000004">
      <c r="A162" s="16" t="s">
        <v>151</v>
      </c>
      <c r="B162" s="13" t="s">
        <v>77</v>
      </c>
      <c r="C162" s="13">
        <v>8</v>
      </c>
      <c r="D162" s="13" t="s">
        <v>88</v>
      </c>
      <c r="E162" s="28">
        <v>3.4766062004655449</v>
      </c>
      <c r="F162" s="13" t="s">
        <v>1202</v>
      </c>
    </row>
    <row r="163" spans="1:6" x14ac:dyDescent="0.55000000000000004">
      <c r="A163" s="16" t="s">
        <v>153</v>
      </c>
      <c r="B163" s="13" t="s">
        <v>77</v>
      </c>
      <c r="C163" s="13">
        <v>8</v>
      </c>
      <c r="D163" s="13" t="s">
        <v>91</v>
      </c>
      <c r="E163" s="28">
        <v>0.53830206466094621</v>
      </c>
      <c r="F163" s="13" t="s">
        <v>1202</v>
      </c>
    </row>
    <row r="164" spans="1:6" x14ac:dyDescent="0.55000000000000004">
      <c r="A164" s="16" t="s">
        <v>155</v>
      </c>
      <c r="B164" s="13" t="s">
        <v>77</v>
      </c>
      <c r="C164" s="13">
        <v>8</v>
      </c>
      <c r="D164" s="13" t="s">
        <v>92</v>
      </c>
      <c r="E164" s="28">
        <v>0.5149181361503602</v>
      </c>
      <c r="F164" s="13" t="s">
        <v>1202</v>
      </c>
    </row>
    <row r="165" spans="1:6" x14ac:dyDescent="0.55000000000000004">
      <c r="A165" s="16" t="s">
        <v>157</v>
      </c>
      <c r="B165" s="13" t="s">
        <v>77</v>
      </c>
      <c r="C165" s="13">
        <v>9</v>
      </c>
      <c r="D165" s="13" t="s">
        <v>73</v>
      </c>
      <c r="E165" s="28">
        <v>3.62364927947654</v>
      </c>
      <c r="F165" s="13" t="s">
        <v>1202</v>
      </c>
    </row>
    <row r="166" spans="1:6" x14ac:dyDescent="0.55000000000000004">
      <c r="A166" s="16" t="s">
        <v>159</v>
      </c>
      <c r="B166" s="13" t="s">
        <v>77</v>
      </c>
      <c r="C166" s="13">
        <v>9</v>
      </c>
      <c r="D166" s="13" t="s">
        <v>76</v>
      </c>
      <c r="E166" s="28">
        <v>11.282913272935684</v>
      </c>
      <c r="F166" s="13" t="s">
        <v>1202</v>
      </c>
    </row>
    <row r="167" spans="1:6" x14ac:dyDescent="0.55000000000000004">
      <c r="A167" s="16" t="s">
        <v>161</v>
      </c>
      <c r="B167" s="13" t="s">
        <v>77</v>
      </c>
      <c r="C167" s="13">
        <v>9</v>
      </c>
      <c r="D167" s="13" t="s">
        <v>83</v>
      </c>
      <c r="E167" s="28">
        <v>1.8671282308178203</v>
      </c>
      <c r="F167" s="13" t="s">
        <v>1202</v>
      </c>
    </row>
    <row r="168" spans="1:6" x14ac:dyDescent="0.55000000000000004">
      <c r="A168" s="16" t="s">
        <v>163</v>
      </c>
      <c r="B168" s="13" t="s">
        <v>77</v>
      </c>
      <c r="C168" s="13">
        <v>9</v>
      </c>
      <c r="D168" s="13" t="s">
        <v>84</v>
      </c>
      <c r="E168" s="28">
        <v>2.3538390176429722</v>
      </c>
      <c r="F168" s="13" t="s">
        <v>1202</v>
      </c>
    </row>
    <row r="169" spans="1:6" x14ac:dyDescent="0.55000000000000004">
      <c r="A169" s="16" t="s">
        <v>165</v>
      </c>
      <c r="B169" s="13" t="s">
        <v>77</v>
      </c>
      <c r="C169" s="13">
        <v>9</v>
      </c>
      <c r="D169" s="13" t="s">
        <v>87</v>
      </c>
      <c r="E169" s="28">
        <v>2.2483022922238414</v>
      </c>
      <c r="F169" s="13" t="s">
        <v>1202</v>
      </c>
    </row>
    <row r="170" spans="1:6" x14ac:dyDescent="0.55000000000000004">
      <c r="A170" s="16" t="s">
        <v>167</v>
      </c>
      <c r="B170" s="13" t="s">
        <v>77</v>
      </c>
      <c r="C170" s="13">
        <v>9</v>
      </c>
      <c r="D170" s="13" t="s">
        <v>88</v>
      </c>
      <c r="E170" s="28">
        <v>2.5451055337578472</v>
      </c>
      <c r="F170" s="13" t="s">
        <v>1202</v>
      </c>
    </row>
    <row r="171" spans="1:6" x14ac:dyDescent="0.55000000000000004">
      <c r="A171" s="16" t="s">
        <v>169</v>
      </c>
      <c r="B171" s="13" t="s">
        <v>77</v>
      </c>
      <c r="C171" s="13">
        <v>9</v>
      </c>
      <c r="D171" s="13" t="s">
        <v>91</v>
      </c>
      <c r="E171" s="28">
        <v>40.752234689341918</v>
      </c>
      <c r="F171" s="13" t="s">
        <v>1202</v>
      </c>
    </row>
    <row r="172" spans="1:6" x14ac:dyDescent="0.55000000000000004">
      <c r="A172" s="16" t="s">
        <v>171</v>
      </c>
      <c r="B172" s="13" t="s">
        <v>77</v>
      </c>
      <c r="C172" s="13">
        <v>9</v>
      </c>
      <c r="D172" s="13" t="s">
        <v>92</v>
      </c>
      <c r="E172" s="28">
        <v>31.425679479374345</v>
      </c>
      <c r="F172" s="13" t="s">
        <v>1202</v>
      </c>
    </row>
    <row r="173" spans="1:6" x14ac:dyDescent="0.55000000000000004">
      <c r="A173" s="16" t="s">
        <v>173</v>
      </c>
      <c r="B173" s="13" t="s">
        <v>77</v>
      </c>
      <c r="C173" s="13">
        <v>10</v>
      </c>
      <c r="D173" s="13" t="s">
        <v>73</v>
      </c>
      <c r="E173" s="28">
        <v>7.9864277175778904</v>
      </c>
      <c r="F173" s="13" t="s">
        <v>1202</v>
      </c>
    </row>
    <row r="174" spans="1:6" x14ac:dyDescent="0.55000000000000004">
      <c r="A174" s="16" t="s">
        <v>175</v>
      </c>
      <c r="B174" s="13" t="s">
        <v>77</v>
      </c>
      <c r="C174" s="13">
        <v>10</v>
      </c>
      <c r="D174" s="13" t="s">
        <v>76</v>
      </c>
      <c r="E174" s="28">
        <v>1.3483729843082812</v>
      </c>
      <c r="F174" s="13" t="s">
        <v>1202</v>
      </c>
    </row>
    <row r="175" spans="1:6" x14ac:dyDescent="0.55000000000000004">
      <c r="A175" s="16" t="s">
        <v>177</v>
      </c>
      <c r="B175" s="13" t="s">
        <v>77</v>
      </c>
      <c r="C175" s="13">
        <v>10</v>
      </c>
      <c r="D175" s="13" t="s">
        <v>83</v>
      </c>
      <c r="E175" s="28">
        <v>0.35684483884854401</v>
      </c>
      <c r="F175" s="13" t="s">
        <v>1202</v>
      </c>
    </row>
    <row r="176" spans="1:6" x14ac:dyDescent="0.55000000000000004">
      <c r="A176" s="16" t="s">
        <v>179</v>
      </c>
      <c r="B176" s="13" t="s">
        <v>77</v>
      </c>
      <c r="C176" s="13">
        <v>10</v>
      </c>
      <c r="D176" s="13" t="s">
        <v>84</v>
      </c>
      <c r="E176" s="28">
        <v>6.124571530903955</v>
      </c>
      <c r="F176" s="13" t="s">
        <v>1202</v>
      </c>
    </row>
    <row r="177" spans="1:6" x14ac:dyDescent="0.55000000000000004">
      <c r="A177" s="16" t="s">
        <v>181</v>
      </c>
      <c r="B177" s="13" t="s">
        <v>77</v>
      </c>
      <c r="C177" s="13">
        <v>10</v>
      </c>
      <c r="D177" s="13" t="s">
        <v>87</v>
      </c>
      <c r="E177" s="28">
        <v>0.32908513226251163</v>
      </c>
      <c r="F177" s="13" t="s">
        <v>1202</v>
      </c>
    </row>
    <row r="178" spans="1:6" x14ac:dyDescent="0.55000000000000004">
      <c r="A178" s="16" t="s">
        <v>187</v>
      </c>
      <c r="B178" s="13" t="s">
        <v>77</v>
      </c>
      <c r="C178" s="13">
        <v>10</v>
      </c>
      <c r="D178" s="13" t="s">
        <v>91</v>
      </c>
      <c r="E178" s="28">
        <v>2.6268086461116216</v>
      </c>
      <c r="F178" s="13" t="s">
        <v>1202</v>
      </c>
    </row>
    <row r="179" spans="1:6" x14ac:dyDescent="0.55000000000000004">
      <c r="A179" s="16" t="s">
        <v>189</v>
      </c>
      <c r="B179" s="13" t="s">
        <v>77</v>
      </c>
      <c r="C179" s="13">
        <v>10</v>
      </c>
      <c r="D179" s="13" t="s">
        <v>92</v>
      </c>
      <c r="E179" s="28">
        <v>1.0078971438000925</v>
      </c>
      <c r="F179" s="13" t="s">
        <v>1202</v>
      </c>
    </row>
    <row r="180" spans="1:6" x14ac:dyDescent="0.55000000000000004">
      <c r="A180" s="16" t="s">
        <v>191</v>
      </c>
      <c r="B180" s="13" t="s">
        <v>77</v>
      </c>
      <c r="C180" s="13">
        <v>11</v>
      </c>
      <c r="D180" s="13" t="s">
        <v>73</v>
      </c>
      <c r="E180" s="28">
        <v>8.1489454744413461</v>
      </c>
      <c r="F180" s="13" t="s">
        <v>1202</v>
      </c>
    </row>
  </sheetData>
  <pageMargins left="0.5" right="0.45" top="0.5" bottom="0.25" header="0.3" footer="0.3"/>
  <pageSetup scale="54" fitToHeight="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7BD2-EB7F-4418-83EF-4841B918A5DD}">
  <dimension ref="A1:L198"/>
  <sheetViews>
    <sheetView topLeftCell="A93" workbookViewId="0">
      <selection activeCell="B134" sqref="B134"/>
    </sheetView>
  </sheetViews>
  <sheetFormatPr defaultRowHeight="14.4" x14ac:dyDescent="0.55000000000000004"/>
  <cols>
    <col min="1" max="1" width="16.15625" bestFit="1" customWidth="1"/>
    <col min="10" max="10" width="12.578125" bestFit="1" customWidth="1"/>
  </cols>
  <sheetData>
    <row r="1" spans="1:2" x14ac:dyDescent="0.55000000000000004">
      <c r="A1" t="s">
        <v>36</v>
      </c>
      <c r="B1" t="s">
        <v>1</v>
      </c>
    </row>
    <row r="2" spans="1:2" x14ac:dyDescent="0.55000000000000004">
      <c r="A2" t="s">
        <v>787</v>
      </c>
      <c r="B2" t="s">
        <v>788</v>
      </c>
    </row>
    <row r="3" spans="1:2" x14ac:dyDescent="0.55000000000000004">
      <c r="A3" t="s">
        <v>789</v>
      </c>
      <c r="B3" t="s">
        <v>790</v>
      </c>
    </row>
    <row r="4" spans="1:2" x14ac:dyDescent="0.55000000000000004">
      <c r="A4" t="s">
        <v>791</v>
      </c>
      <c r="B4" t="s">
        <v>792</v>
      </c>
    </row>
    <row r="5" spans="1:2" x14ac:dyDescent="0.55000000000000004">
      <c r="A5" t="s">
        <v>793</v>
      </c>
      <c r="B5" t="s">
        <v>794</v>
      </c>
    </row>
    <row r="6" spans="1:2" x14ac:dyDescent="0.55000000000000004">
      <c r="A6" t="s">
        <v>795</v>
      </c>
      <c r="B6" t="s">
        <v>796</v>
      </c>
    </row>
    <row r="7" spans="1:2" x14ac:dyDescent="0.55000000000000004">
      <c r="A7" t="s">
        <v>797</v>
      </c>
      <c r="B7" t="s">
        <v>798</v>
      </c>
    </row>
    <row r="8" spans="1:2" x14ac:dyDescent="0.55000000000000004">
      <c r="A8" t="s">
        <v>799</v>
      </c>
      <c r="B8" t="s">
        <v>800</v>
      </c>
    </row>
    <row r="9" spans="1:2" x14ac:dyDescent="0.55000000000000004">
      <c r="A9" t="s">
        <v>801</v>
      </c>
      <c r="B9" t="s">
        <v>802</v>
      </c>
    </row>
    <row r="10" spans="1:2" x14ac:dyDescent="0.55000000000000004">
      <c r="A10" t="s">
        <v>803</v>
      </c>
      <c r="B10" t="s">
        <v>804</v>
      </c>
    </row>
    <row r="11" spans="1:2" x14ac:dyDescent="0.55000000000000004">
      <c r="A11" t="s">
        <v>805</v>
      </c>
      <c r="B11" t="s">
        <v>806</v>
      </c>
    </row>
    <row r="12" spans="1:2" x14ac:dyDescent="0.55000000000000004">
      <c r="A12" t="s">
        <v>807</v>
      </c>
      <c r="B12" t="s">
        <v>808</v>
      </c>
    </row>
    <row r="13" spans="1:2" x14ac:dyDescent="0.55000000000000004">
      <c r="A13" t="s">
        <v>809</v>
      </c>
      <c r="B13" t="s">
        <v>810</v>
      </c>
    </row>
    <row r="14" spans="1:2" x14ac:dyDescent="0.55000000000000004">
      <c r="A14" t="s">
        <v>811</v>
      </c>
      <c r="B14" t="s">
        <v>812</v>
      </c>
    </row>
    <row r="15" spans="1:2" x14ac:dyDescent="0.55000000000000004">
      <c r="A15" t="s">
        <v>813</v>
      </c>
      <c r="B15" t="s">
        <v>814</v>
      </c>
    </row>
    <row r="16" spans="1:2" x14ac:dyDescent="0.55000000000000004">
      <c r="A16" t="s">
        <v>815</v>
      </c>
      <c r="B16" t="s">
        <v>816</v>
      </c>
    </row>
    <row r="17" spans="1:2" x14ac:dyDescent="0.55000000000000004">
      <c r="A17" t="s">
        <v>817</v>
      </c>
      <c r="B17" t="s">
        <v>818</v>
      </c>
    </row>
    <row r="18" spans="1:2" x14ac:dyDescent="0.55000000000000004">
      <c r="A18" t="s">
        <v>819</v>
      </c>
      <c r="B18" t="s">
        <v>820</v>
      </c>
    </row>
    <row r="19" spans="1:2" x14ac:dyDescent="0.55000000000000004">
      <c r="A19" t="s">
        <v>821</v>
      </c>
      <c r="B19" t="s">
        <v>822</v>
      </c>
    </row>
    <row r="20" spans="1:2" x14ac:dyDescent="0.55000000000000004">
      <c r="A20" t="s">
        <v>823</v>
      </c>
      <c r="B20" t="s">
        <v>824</v>
      </c>
    </row>
    <row r="21" spans="1:2" x14ac:dyDescent="0.55000000000000004">
      <c r="A21" t="s">
        <v>825</v>
      </c>
      <c r="B21" t="s">
        <v>826</v>
      </c>
    </row>
    <row r="22" spans="1:2" x14ac:dyDescent="0.55000000000000004">
      <c r="A22" t="s">
        <v>827</v>
      </c>
      <c r="B22" t="s">
        <v>828</v>
      </c>
    </row>
    <row r="23" spans="1:2" x14ac:dyDescent="0.55000000000000004">
      <c r="A23" t="s">
        <v>829</v>
      </c>
      <c r="B23" t="s">
        <v>830</v>
      </c>
    </row>
    <row r="24" spans="1:2" x14ac:dyDescent="0.55000000000000004">
      <c r="A24" t="s">
        <v>831</v>
      </c>
      <c r="B24" t="s">
        <v>832</v>
      </c>
    </row>
    <row r="25" spans="1:2" x14ac:dyDescent="0.55000000000000004">
      <c r="A25" t="s">
        <v>833</v>
      </c>
      <c r="B25" t="s">
        <v>834</v>
      </c>
    </row>
    <row r="26" spans="1:2" x14ac:dyDescent="0.55000000000000004">
      <c r="A26" t="s">
        <v>835</v>
      </c>
      <c r="B26" t="s">
        <v>836</v>
      </c>
    </row>
    <row r="27" spans="1:2" x14ac:dyDescent="0.55000000000000004">
      <c r="A27" t="s">
        <v>837</v>
      </c>
      <c r="B27" t="s">
        <v>838</v>
      </c>
    </row>
    <row r="28" spans="1:2" x14ac:dyDescent="0.55000000000000004">
      <c r="A28" t="s">
        <v>839</v>
      </c>
      <c r="B28" t="s">
        <v>840</v>
      </c>
    </row>
    <row r="29" spans="1:2" x14ac:dyDescent="0.55000000000000004">
      <c r="A29" t="s">
        <v>841</v>
      </c>
      <c r="B29" t="s">
        <v>842</v>
      </c>
    </row>
    <row r="30" spans="1:2" x14ac:dyDescent="0.55000000000000004">
      <c r="A30" t="s">
        <v>843</v>
      </c>
      <c r="B30" t="s">
        <v>844</v>
      </c>
    </row>
    <row r="31" spans="1:2" x14ac:dyDescent="0.55000000000000004">
      <c r="A31" t="s">
        <v>845</v>
      </c>
      <c r="B31" t="s">
        <v>846</v>
      </c>
    </row>
    <row r="32" spans="1:2" x14ac:dyDescent="0.55000000000000004">
      <c r="A32" t="s">
        <v>847</v>
      </c>
      <c r="B32" t="s">
        <v>848</v>
      </c>
    </row>
    <row r="33" spans="1:12" x14ac:dyDescent="0.55000000000000004">
      <c r="A33" t="s">
        <v>849</v>
      </c>
      <c r="B33" t="s">
        <v>850</v>
      </c>
    </row>
    <row r="34" spans="1:12" x14ac:dyDescent="0.55000000000000004">
      <c r="A34" t="s">
        <v>851</v>
      </c>
      <c r="B34" t="s">
        <v>852</v>
      </c>
    </row>
    <row r="35" spans="1:12" x14ac:dyDescent="0.55000000000000004">
      <c r="A35" t="s">
        <v>853</v>
      </c>
      <c r="B35" t="s">
        <v>854</v>
      </c>
    </row>
    <row r="36" spans="1:12" x14ac:dyDescent="0.55000000000000004">
      <c r="A36" t="s">
        <v>855</v>
      </c>
      <c r="B36" t="s">
        <v>856</v>
      </c>
    </row>
    <row r="37" spans="1:12" x14ac:dyDescent="0.55000000000000004">
      <c r="A37" t="s">
        <v>857</v>
      </c>
      <c r="B37" t="s">
        <v>858</v>
      </c>
    </row>
    <row r="38" spans="1:12" x14ac:dyDescent="0.55000000000000004">
      <c r="A38" t="s">
        <v>859</v>
      </c>
      <c r="B38" t="s">
        <v>860</v>
      </c>
      <c r="J38" s="19" t="s">
        <v>1191</v>
      </c>
      <c r="K38" s="19" t="s">
        <v>35</v>
      </c>
      <c r="L38" s="19" t="s">
        <v>1192</v>
      </c>
    </row>
    <row r="39" spans="1:12" x14ac:dyDescent="0.55000000000000004">
      <c r="A39" t="s">
        <v>861</v>
      </c>
      <c r="B39" t="s">
        <v>862</v>
      </c>
      <c r="J39" t="s">
        <v>1179</v>
      </c>
      <c r="K39" s="18" t="s">
        <v>617</v>
      </c>
      <c r="L39" s="17" t="s">
        <v>647</v>
      </c>
    </row>
    <row r="40" spans="1:12" x14ac:dyDescent="0.55000000000000004">
      <c r="A40" t="s">
        <v>863</v>
      </c>
      <c r="B40" t="s">
        <v>864</v>
      </c>
      <c r="J40" t="s">
        <v>1180</v>
      </c>
      <c r="K40" s="18" t="s">
        <v>619</v>
      </c>
      <c r="L40" s="17" t="s">
        <v>647</v>
      </c>
    </row>
    <row r="41" spans="1:12" x14ac:dyDescent="0.55000000000000004">
      <c r="A41" t="s">
        <v>865</v>
      </c>
      <c r="B41" t="s">
        <v>866</v>
      </c>
      <c r="J41" t="s">
        <v>1181</v>
      </c>
      <c r="K41" s="18" t="s">
        <v>621</v>
      </c>
      <c r="L41" s="17" t="s">
        <v>647</v>
      </c>
    </row>
    <row r="42" spans="1:12" x14ac:dyDescent="0.55000000000000004">
      <c r="A42" t="s">
        <v>867</v>
      </c>
      <c r="B42" t="s">
        <v>868</v>
      </c>
      <c r="J42" t="s">
        <v>1182</v>
      </c>
      <c r="K42" s="18" t="s">
        <v>623</v>
      </c>
      <c r="L42" s="17" t="s">
        <v>647</v>
      </c>
    </row>
    <row r="43" spans="1:12" x14ac:dyDescent="0.55000000000000004">
      <c r="A43" t="s">
        <v>869</v>
      </c>
      <c r="B43" t="s">
        <v>870</v>
      </c>
      <c r="J43" t="s">
        <v>1183</v>
      </c>
      <c r="K43" s="18" t="s">
        <v>625</v>
      </c>
      <c r="L43" s="17" t="s">
        <v>647</v>
      </c>
    </row>
    <row r="44" spans="1:12" x14ac:dyDescent="0.55000000000000004">
      <c r="A44" t="s">
        <v>871</v>
      </c>
      <c r="B44" t="s">
        <v>872</v>
      </c>
      <c r="J44" t="s">
        <v>1184</v>
      </c>
      <c r="K44" s="18" t="s">
        <v>627</v>
      </c>
      <c r="L44" s="17" t="s">
        <v>647</v>
      </c>
    </row>
    <row r="45" spans="1:12" x14ac:dyDescent="0.55000000000000004">
      <c r="A45" t="s">
        <v>873</v>
      </c>
      <c r="B45" t="s">
        <v>874</v>
      </c>
      <c r="J45" t="s">
        <v>1185</v>
      </c>
      <c r="K45" s="18" t="s">
        <v>629</v>
      </c>
      <c r="L45" s="17" t="s">
        <v>647</v>
      </c>
    </row>
    <row r="46" spans="1:12" x14ac:dyDescent="0.55000000000000004">
      <c r="A46" t="s">
        <v>875</v>
      </c>
      <c r="B46" t="s">
        <v>876</v>
      </c>
      <c r="J46" t="s">
        <v>1186</v>
      </c>
      <c r="K46" s="18" t="s">
        <v>631</v>
      </c>
      <c r="L46" s="17" t="s">
        <v>647</v>
      </c>
    </row>
    <row r="47" spans="1:12" x14ac:dyDescent="0.55000000000000004">
      <c r="A47" t="s">
        <v>877</v>
      </c>
      <c r="B47" t="s">
        <v>878</v>
      </c>
      <c r="J47" t="s">
        <v>1187</v>
      </c>
      <c r="K47" s="18" t="s">
        <v>633</v>
      </c>
      <c r="L47" s="17" t="s">
        <v>647</v>
      </c>
    </row>
    <row r="48" spans="1:12" x14ac:dyDescent="0.55000000000000004">
      <c r="A48" t="s">
        <v>879</v>
      </c>
      <c r="B48" t="s">
        <v>880</v>
      </c>
      <c r="J48" t="s">
        <v>1188</v>
      </c>
      <c r="K48" s="18" t="s">
        <v>635</v>
      </c>
      <c r="L48" s="17" t="s">
        <v>647</v>
      </c>
    </row>
    <row r="49" spans="1:12" x14ac:dyDescent="0.55000000000000004">
      <c r="A49" t="s">
        <v>881</v>
      </c>
      <c r="B49" t="s">
        <v>882</v>
      </c>
      <c r="J49" t="s">
        <v>1189</v>
      </c>
      <c r="K49" s="18" t="s">
        <v>637</v>
      </c>
      <c r="L49" s="17" t="s">
        <v>647</v>
      </c>
    </row>
    <row r="50" spans="1:12" x14ac:dyDescent="0.55000000000000004">
      <c r="A50" t="s">
        <v>1179</v>
      </c>
      <c r="B50" t="s">
        <v>883</v>
      </c>
      <c r="J50" t="s">
        <v>1190</v>
      </c>
      <c r="K50" s="18" t="s">
        <v>639</v>
      </c>
      <c r="L50" s="17" t="s">
        <v>647</v>
      </c>
    </row>
    <row r="51" spans="1:12" x14ac:dyDescent="0.55000000000000004">
      <c r="A51" t="s">
        <v>884</v>
      </c>
      <c r="B51" t="s">
        <v>885</v>
      </c>
    </row>
    <row r="52" spans="1:12" x14ac:dyDescent="0.55000000000000004">
      <c r="A52" t="s">
        <v>886</v>
      </c>
      <c r="B52" t="s">
        <v>887</v>
      </c>
    </row>
    <row r="53" spans="1:12" x14ac:dyDescent="0.55000000000000004">
      <c r="A53" t="s">
        <v>888</v>
      </c>
      <c r="B53" t="s">
        <v>889</v>
      </c>
    </row>
    <row r="54" spans="1:12" x14ac:dyDescent="0.55000000000000004">
      <c r="A54" t="s">
        <v>890</v>
      </c>
      <c r="B54" t="s">
        <v>891</v>
      </c>
    </row>
    <row r="55" spans="1:12" x14ac:dyDescent="0.55000000000000004">
      <c r="A55" t="s">
        <v>892</v>
      </c>
      <c r="B55" t="s">
        <v>893</v>
      </c>
    </row>
    <row r="56" spans="1:12" x14ac:dyDescent="0.55000000000000004">
      <c r="A56" t="s">
        <v>894</v>
      </c>
      <c r="B56" t="s">
        <v>895</v>
      </c>
    </row>
    <row r="57" spans="1:12" x14ac:dyDescent="0.55000000000000004">
      <c r="A57" t="s">
        <v>896</v>
      </c>
      <c r="B57" t="s">
        <v>897</v>
      </c>
    </row>
    <row r="58" spans="1:12" x14ac:dyDescent="0.55000000000000004">
      <c r="A58" t="s">
        <v>898</v>
      </c>
      <c r="B58" t="s">
        <v>899</v>
      </c>
    </row>
    <row r="59" spans="1:12" x14ac:dyDescent="0.55000000000000004">
      <c r="A59" t="s">
        <v>900</v>
      </c>
      <c r="B59" t="s">
        <v>901</v>
      </c>
    </row>
    <row r="60" spans="1:12" x14ac:dyDescent="0.55000000000000004">
      <c r="A60" t="s">
        <v>902</v>
      </c>
      <c r="B60" t="s">
        <v>903</v>
      </c>
    </row>
    <row r="61" spans="1:12" x14ac:dyDescent="0.55000000000000004">
      <c r="A61" t="s">
        <v>904</v>
      </c>
      <c r="B61" t="s">
        <v>905</v>
      </c>
    </row>
    <row r="62" spans="1:12" x14ac:dyDescent="0.55000000000000004">
      <c r="A62" t="s">
        <v>906</v>
      </c>
      <c r="B62" t="s">
        <v>907</v>
      </c>
    </row>
    <row r="63" spans="1:12" x14ac:dyDescent="0.55000000000000004">
      <c r="A63" t="s">
        <v>908</v>
      </c>
      <c r="B63" t="s">
        <v>909</v>
      </c>
    </row>
    <row r="64" spans="1:12" x14ac:dyDescent="0.55000000000000004">
      <c r="A64" t="s">
        <v>910</v>
      </c>
      <c r="B64" t="s">
        <v>911</v>
      </c>
    </row>
    <row r="65" spans="1:2" x14ac:dyDescent="0.55000000000000004">
      <c r="A65" t="s">
        <v>912</v>
      </c>
      <c r="B65" t="s">
        <v>913</v>
      </c>
    </row>
    <row r="66" spans="1:2" x14ac:dyDescent="0.55000000000000004">
      <c r="A66" t="s">
        <v>914</v>
      </c>
      <c r="B66" t="s">
        <v>915</v>
      </c>
    </row>
    <row r="67" spans="1:2" x14ac:dyDescent="0.55000000000000004">
      <c r="A67" t="s">
        <v>916</v>
      </c>
      <c r="B67" t="s">
        <v>917</v>
      </c>
    </row>
    <row r="68" spans="1:2" x14ac:dyDescent="0.55000000000000004">
      <c r="A68" t="s">
        <v>918</v>
      </c>
      <c r="B68" t="s">
        <v>919</v>
      </c>
    </row>
    <row r="69" spans="1:2" x14ac:dyDescent="0.55000000000000004">
      <c r="A69" t="s">
        <v>920</v>
      </c>
      <c r="B69" t="s">
        <v>921</v>
      </c>
    </row>
    <row r="70" spans="1:2" x14ac:dyDescent="0.55000000000000004">
      <c r="A70" t="s">
        <v>922</v>
      </c>
      <c r="B70" t="s">
        <v>923</v>
      </c>
    </row>
    <row r="71" spans="1:2" x14ac:dyDescent="0.55000000000000004">
      <c r="A71" t="s">
        <v>924</v>
      </c>
      <c r="B71" t="s">
        <v>925</v>
      </c>
    </row>
    <row r="72" spans="1:2" x14ac:dyDescent="0.55000000000000004">
      <c r="A72" t="s">
        <v>926</v>
      </c>
      <c r="B72" t="s">
        <v>927</v>
      </c>
    </row>
    <row r="73" spans="1:2" x14ac:dyDescent="0.55000000000000004">
      <c r="A73" t="s">
        <v>928</v>
      </c>
      <c r="B73" t="s">
        <v>929</v>
      </c>
    </row>
    <row r="74" spans="1:2" x14ac:dyDescent="0.55000000000000004">
      <c r="A74" t="s">
        <v>930</v>
      </c>
      <c r="B74" t="s">
        <v>931</v>
      </c>
    </row>
    <row r="75" spans="1:2" x14ac:dyDescent="0.55000000000000004">
      <c r="A75" t="s">
        <v>932</v>
      </c>
      <c r="B75" t="s">
        <v>933</v>
      </c>
    </row>
    <row r="76" spans="1:2" x14ac:dyDescent="0.55000000000000004">
      <c r="A76" t="s">
        <v>934</v>
      </c>
      <c r="B76" t="s">
        <v>935</v>
      </c>
    </row>
    <row r="77" spans="1:2" x14ac:dyDescent="0.55000000000000004">
      <c r="A77" t="s">
        <v>936</v>
      </c>
      <c r="B77" t="s">
        <v>937</v>
      </c>
    </row>
    <row r="78" spans="1:2" x14ac:dyDescent="0.55000000000000004">
      <c r="A78" t="s">
        <v>938</v>
      </c>
      <c r="B78" t="s">
        <v>939</v>
      </c>
    </row>
    <row r="79" spans="1:2" x14ac:dyDescent="0.55000000000000004">
      <c r="A79" t="s">
        <v>940</v>
      </c>
      <c r="B79" t="s">
        <v>941</v>
      </c>
    </row>
    <row r="80" spans="1:2" x14ac:dyDescent="0.55000000000000004">
      <c r="A80" t="s">
        <v>942</v>
      </c>
      <c r="B80" t="s">
        <v>943</v>
      </c>
    </row>
    <row r="81" spans="1:2" x14ac:dyDescent="0.55000000000000004">
      <c r="A81" t="s">
        <v>944</v>
      </c>
      <c r="B81" t="s">
        <v>945</v>
      </c>
    </row>
    <row r="82" spans="1:2" x14ac:dyDescent="0.55000000000000004">
      <c r="A82" t="s">
        <v>946</v>
      </c>
      <c r="B82" t="s">
        <v>947</v>
      </c>
    </row>
    <row r="83" spans="1:2" x14ac:dyDescent="0.55000000000000004">
      <c r="A83" t="s">
        <v>948</v>
      </c>
      <c r="B83" t="s">
        <v>949</v>
      </c>
    </row>
    <row r="84" spans="1:2" x14ac:dyDescent="0.55000000000000004">
      <c r="A84" t="s">
        <v>950</v>
      </c>
      <c r="B84" t="s">
        <v>951</v>
      </c>
    </row>
    <row r="85" spans="1:2" x14ac:dyDescent="0.55000000000000004">
      <c r="A85" t="s">
        <v>952</v>
      </c>
      <c r="B85" t="s">
        <v>953</v>
      </c>
    </row>
    <row r="86" spans="1:2" x14ac:dyDescent="0.55000000000000004">
      <c r="A86" t="s">
        <v>954</v>
      </c>
      <c r="B86" t="s">
        <v>955</v>
      </c>
    </row>
    <row r="87" spans="1:2" x14ac:dyDescent="0.55000000000000004">
      <c r="A87" t="s">
        <v>956</v>
      </c>
      <c r="B87" t="s">
        <v>957</v>
      </c>
    </row>
    <row r="88" spans="1:2" x14ac:dyDescent="0.55000000000000004">
      <c r="A88" t="s">
        <v>958</v>
      </c>
      <c r="B88" t="s">
        <v>959</v>
      </c>
    </row>
    <row r="89" spans="1:2" x14ac:dyDescent="0.55000000000000004">
      <c r="A89" t="s">
        <v>960</v>
      </c>
      <c r="B89" t="s">
        <v>961</v>
      </c>
    </row>
    <row r="90" spans="1:2" x14ac:dyDescent="0.55000000000000004">
      <c r="A90" t="s">
        <v>962</v>
      </c>
      <c r="B90" t="s">
        <v>963</v>
      </c>
    </row>
    <row r="91" spans="1:2" x14ac:dyDescent="0.55000000000000004">
      <c r="A91" t="s">
        <v>964</v>
      </c>
      <c r="B91" t="s">
        <v>965</v>
      </c>
    </row>
    <row r="92" spans="1:2" x14ac:dyDescent="0.55000000000000004">
      <c r="A92" t="s">
        <v>966</v>
      </c>
      <c r="B92" t="s">
        <v>967</v>
      </c>
    </row>
    <row r="93" spans="1:2" x14ac:dyDescent="0.55000000000000004">
      <c r="A93" t="s">
        <v>968</v>
      </c>
      <c r="B93" t="s">
        <v>969</v>
      </c>
    </row>
    <row r="94" spans="1:2" x14ac:dyDescent="0.55000000000000004">
      <c r="A94" t="s">
        <v>970</v>
      </c>
      <c r="B94" t="s">
        <v>971</v>
      </c>
    </row>
    <row r="95" spans="1:2" x14ac:dyDescent="0.55000000000000004">
      <c r="A95" t="s">
        <v>972</v>
      </c>
      <c r="B95" t="s">
        <v>973</v>
      </c>
    </row>
    <row r="96" spans="1:2" x14ac:dyDescent="0.55000000000000004">
      <c r="A96" t="s">
        <v>974</v>
      </c>
      <c r="B96" t="s">
        <v>975</v>
      </c>
    </row>
    <row r="97" spans="1:2" x14ac:dyDescent="0.55000000000000004">
      <c r="A97" t="s">
        <v>976</v>
      </c>
      <c r="B97" t="s">
        <v>977</v>
      </c>
    </row>
    <row r="98" spans="1:2" x14ac:dyDescent="0.55000000000000004">
      <c r="A98" t="s">
        <v>978</v>
      </c>
      <c r="B98" t="s">
        <v>979</v>
      </c>
    </row>
    <row r="99" spans="1:2" x14ac:dyDescent="0.55000000000000004">
      <c r="A99" t="s">
        <v>980</v>
      </c>
      <c r="B99" t="s">
        <v>981</v>
      </c>
    </row>
    <row r="100" spans="1:2" x14ac:dyDescent="0.55000000000000004">
      <c r="A100" t="s">
        <v>982</v>
      </c>
      <c r="B100" t="s">
        <v>983</v>
      </c>
    </row>
    <row r="101" spans="1:2" x14ac:dyDescent="0.55000000000000004">
      <c r="A101" t="s">
        <v>984</v>
      </c>
      <c r="B101" t="s">
        <v>985</v>
      </c>
    </row>
    <row r="102" spans="1:2" x14ac:dyDescent="0.55000000000000004">
      <c r="A102" t="s">
        <v>986</v>
      </c>
      <c r="B102" t="s">
        <v>987</v>
      </c>
    </row>
    <row r="103" spans="1:2" x14ac:dyDescent="0.55000000000000004">
      <c r="A103" t="s">
        <v>988</v>
      </c>
      <c r="B103" t="s">
        <v>989</v>
      </c>
    </row>
    <row r="104" spans="1:2" x14ac:dyDescent="0.55000000000000004">
      <c r="A104" t="s">
        <v>990</v>
      </c>
      <c r="B104" t="s">
        <v>991</v>
      </c>
    </row>
    <row r="105" spans="1:2" x14ac:dyDescent="0.55000000000000004">
      <c r="A105" t="s">
        <v>992</v>
      </c>
      <c r="B105" t="s">
        <v>993</v>
      </c>
    </row>
    <row r="106" spans="1:2" x14ac:dyDescent="0.55000000000000004">
      <c r="A106" t="s">
        <v>994</v>
      </c>
      <c r="B106" t="s">
        <v>995</v>
      </c>
    </row>
    <row r="107" spans="1:2" x14ac:dyDescent="0.55000000000000004">
      <c r="A107" t="s">
        <v>996</v>
      </c>
      <c r="B107" t="s">
        <v>997</v>
      </c>
    </row>
    <row r="108" spans="1:2" x14ac:dyDescent="0.55000000000000004">
      <c r="A108" t="s">
        <v>998</v>
      </c>
      <c r="B108" t="s">
        <v>999</v>
      </c>
    </row>
    <row r="109" spans="1:2" x14ac:dyDescent="0.55000000000000004">
      <c r="A109" t="s">
        <v>1000</v>
      </c>
      <c r="B109" t="s">
        <v>1001</v>
      </c>
    </row>
    <row r="110" spans="1:2" x14ac:dyDescent="0.55000000000000004">
      <c r="A110" t="s">
        <v>1002</v>
      </c>
      <c r="B110" t="s">
        <v>1003</v>
      </c>
    </row>
    <row r="111" spans="1:2" x14ac:dyDescent="0.55000000000000004">
      <c r="A111" t="s">
        <v>1004</v>
      </c>
      <c r="B111" t="s">
        <v>1005</v>
      </c>
    </row>
    <row r="112" spans="1:2" x14ac:dyDescent="0.55000000000000004">
      <c r="A112" t="s">
        <v>1006</v>
      </c>
      <c r="B112" t="s">
        <v>1007</v>
      </c>
    </row>
    <row r="113" spans="1:2" x14ac:dyDescent="0.55000000000000004">
      <c r="A113" t="s">
        <v>1008</v>
      </c>
      <c r="B113" t="s">
        <v>1009</v>
      </c>
    </row>
    <row r="114" spans="1:2" x14ac:dyDescent="0.55000000000000004">
      <c r="A114" t="s">
        <v>1010</v>
      </c>
      <c r="B114" t="s">
        <v>1011</v>
      </c>
    </row>
    <row r="115" spans="1:2" x14ac:dyDescent="0.55000000000000004">
      <c r="A115" t="s">
        <v>1012</v>
      </c>
      <c r="B115" t="s">
        <v>1013</v>
      </c>
    </row>
    <row r="116" spans="1:2" x14ac:dyDescent="0.55000000000000004">
      <c r="A116" t="s">
        <v>1014</v>
      </c>
      <c r="B116" t="s">
        <v>1015</v>
      </c>
    </row>
    <row r="117" spans="1:2" x14ac:dyDescent="0.55000000000000004">
      <c r="A117" t="s">
        <v>1016</v>
      </c>
      <c r="B117" t="s">
        <v>1017</v>
      </c>
    </row>
    <row r="118" spans="1:2" x14ac:dyDescent="0.55000000000000004">
      <c r="A118" t="s">
        <v>1018</v>
      </c>
      <c r="B118" t="s">
        <v>1019</v>
      </c>
    </row>
    <row r="119" spans="1:2" x14ac:dyDescent="0.55000000000000004">
      <c r="A119" t="s">
        <v>1020</v>
      </c>
      <c r="B119" t="s">
        <v>1021</v>
      </c>
    </row>
    <row r="120" spans="1:2" x14ac:dyDescent="0.55000000000000004">
      <c r="A120" t="s">
        <v>1022</v>
      </c>
      <c r="B120" t="s">
        <v>1023</v>
      </c>
    </row>
    <row r="121" spans="1:2" x14ac:dyDescent="0.55000000000000004">
      <c r="A121" t="s">
        <v>1024</v>
      </c>
      <c r="B121" t="s">
        <v>1025</v>
      </c>
    </row>
    <row r="122" spans="1:2" x14ac:dyDescent="0.55000000000000004">
      <c r="A122" t="s">
        <v>1026</v>
      </c>
      <c r="B122" t="s">
        <v>1027</v>
      </c>
    </row>
    <row r="123" spans="1:2" x14ac:dyDescent="0.55000000000000004">
      <c r="A123" t="s">
        <v>1028</v>
      </c>
      <c r="B123" t="s">
        <v>1029</v>
      </c>
    </row>
    <row r="124" spans="1:2" x14ac:dyDescent="0.55000000000000004">
      <c r="A124" t="s">
        <v>1030</v>
      </c>
      <c r="B124" t="s">
        <v>1031</v>
      </c>
    </row>
    <row r="125" spans="1:2" x14ac:dyDescent="0.55000000000000004">
      <c r="A125" t="s">
        <v>1032</v>
      </c>
      <c r="B125" t="s">
        <v>1033</v>
      </c>
    </row>
    <row r="126" spans="1:2" x14ac:dyDescent="0.55000000000000004">
      <c r="A126" t="s">
        <v>1034</v>
      </c>
      <c r="B126" t="s">
        <v>1035</v>
      </c>
    </row>
    <row r="127" spans="1:2" x14ac:dyDescent="0.55000000000000004">
      <c r="A127" t="s">
        <v>1036</v>
      </c>
      <c r="B127" t="s">
        <v>1037</v>
      </c>
    </row>
    <row r="128" spans="1:2" x14ac:dyDescent="0.55000000000000004">
      <c r="A128" t="s">
        <v>1038</v>
      </c>
      <c r="B128" t="s">
        <v>1039</v>
      </c>
    </row>
    <row r="129" spans="1:2" x14ac:dyDescent="0.55000000000000004">
      <c r="A129" t="s">
        <v>1040</v>
      </c>
      <c r="B129" t="s">
        <v>1041</v>
      </c>
    </row>
    <row r="130" spans="1:2" x14ac:dyDescent="0.55000000000000004">
      <c r="A130" t="s">
        <v>1042</v>
      </c>
      <c r="B130" t="s">
        <v>1043</v>
      </c>
    </row>
    <row r="131" spans="1:2" x14ac:dyDescent="0.55000000000000004">
      <c r="A131" t="s">
        <v>1044</v>
      </c>
      <c r="B131" t="s">
        <v>1045</v>
      </c>
    </row>
    <row r="132" spans="1:2" x14ac:dyDescent="0.55000000000000004">
      <c r="A132" t="s">
        <v>1046</v>
      </c>
      <c r="B132" t="s">
        <v>1047</v>
      </c>
    </row>
    <row r="133" spans="1:2" x14ac:dyDescent="0.55000000000000004">
      <c r="A133" t="s">
        <v>1048</v>
      </c>
      <c r="B133" t="s">
        <v>1049</v>
      </c>
    </row>
    <row r="134" spans="1:2" x14ac:dyDescent="0.55000000000000004">
      <c r="A134" t="s">
        <v>831</v>
      </c>
      <c r="B134" t="s">
        <v>1050</v>
      </c>
    </row>
    <row r="135" spans="1:2" x14ac:dyDescent="0.55000000000000004">
      <c r="A135" t="s">
        <v>1051</v>
      </c>
      <c r="B135" t="s">
        <v>1052</v>
      </c>
    </row>
    <row r="136" spans="1:2" x14ac:dyDescent="0.55000000000000004">
      <c r="A136" t="s">
        <v>1053</v>
      </c>
      <c r="B136" t="s">
        <v>1054</v>
      </c>
    </row>
    <row r="137" spans="1:2" x14ac:dyDescent="0.55000000000000004">
      <c r="A137" t="s">
        <v>1055</v>
      </c>
      <c r="B137" t="s">
        <v>1056</v>
      </c>
    </row>
    <row r="138" spans="1:2" x14ac:dyDescent="0.55000000000000004">
      <c r="A138" t="s">
        <v>1057</v>
      </c>
      <c r="B138" t="s">
        <v>1058</v>
      </c>
    </row>
    <row r="139" spans="1:2" x14ac:dyDescent="0.55000000000000004">
      <c r="A139" t="s">
        <v>1059</v>
      </c>
      <c r="B139" t="s">
        <v>1060</v>
      </c>
    </row>
    <row r="140" spans="1:2" x14ac:dyDescent="0.55000000000000004">
      <c r="A140" t="s">
        <v>1061</v>
      </c>
      <c r="B140" t="s">
        <v>1062</v>
      </c>
    </row>
    <row r="141" spans="1:2" x14ac:dyDescent="0.55000000000000004">
      <c r="A141" t="s">
        <v>1063</v>
      </c>
      <c r="B141" t="s">
        <v>1064</v>
      </c>
    </row>
    <row r="142" spans="1:2" x14ac:dyDescent="0.55000000000000004">
      <c r="A142" t="s">
        <v>1065</v>
      </c>
      <c r="B142" t="s">
        <v>1066</v>
      </c>
    </row>
    <row r="143" spans="1:2" x14ac:dyDescent="0.55000000000000004">
      <c r="A143" t="s">
        <v>1067</v>
      </c>
      <c r="B143" t="s">
        <v>1068</v>
      </c>
    </row>
    <row r="144" spans="1:2" x14ac:dyDescent="0.55000000000000004">
      <c r="A144" t="s">
        <v>1069</v>
      </c>
      <c r="B144" t="s">
        <v>1070</v>
      </c>
    </row>
    <row r="145" spans="1:2" x14ac:dyDescent="0.55000000000000004">
      <c r="A145" t="s">
        <v>1071</v>
      </c>
      <c r="B145" t="s">
        <v>1072</v>
      </c>
    </row>
    <row r="146" spans="1:2" x14ac:dyDescent="0.55000000000000004">
      <c r="A146" t="s">
        <v>1073</v>
      </c>
      <c r="B146" t="s">
        <v>1074</v>
      </c>
    </row>
    <row r="147" spans="1:2" x14ac:dyDescent="0.55000000000000004">
      <c r="A147" t="s">
        <v>1075</v>
      </c>
      <c r="B147" t="s">
        <v>1076</v>
      </c>
    </row>
    <row r="148" spans="1:2" x14ac:dyDescent="0.55000000000000004">
      <c r="A148" t="s">
        <v>1077</v>
      </c>
      <c r="B148" t="s">
        <v>1078</v>
      </c>
    </row>
    <row r="149" spans="1:2" x14ac:dyDescent="0.55000000000000004">
      <c r="A149" t="s">
        <v>1079</v>
      </c>
      <c r="B149" t="s">
        <v>1080</v>
      </c>
    </row>
    <row r="150" spans="1:2" x14ac:dyDescent="0.55000000000000004">
      <c r="A150" t="s">
        <v>1081</v>
      </c>
      <c r="B150" t="s">
        <v>1082</v>
      </c>
    </row>
    <row r="151" spans="1:2" x14ac:dyDescent="0.55000000000000004">
      <c r="A151" t="s">
        <v>1083</v>
      </c>
      <c r="B151" t="s">
        <v>1084</v>
      </c>
    </row>
    <row r="152" spans="1:2" x14ac:dyDescent="0.55000000000000004">
      <c r="A152" t="s">
        <v>1085</v>
      </c>
      <c r="B152" t="s">
        <v>1086</v>
      </c>
    </row>
    <row r="153" spans="1:2" x14ac:dyDescent="0.55000000000000004">
      <c r="A153" t="s">
        <v>1087</v>
      </c>
      <c r="B153" t="s">
        <v>1088</v>
      </c>
    </row>
    <row r="154" spans="1:2" x14ac:dyDescent="0.55000000000000004">
      <c r="A154" t="s">
        <v>1089</v>
      </c>
      <c r="B154" t="s">
        <v>1090</v>
      </c>
    </row>
    <row r="155" spans="1:2" x14ac:dyDescent="0.55000000000000004">
      <c r="A155" t="s">
        <v>1091</v>
      </c>
      <c r="B155" t="s">
        <v>1092</v>
      </c>
    </row>
    <row r="156" spans="1:2" x14ac:dyDescent="0.55000000000000004">
      <c r="A156" t="s">
        <v>1093</v>
      </c>
      <c r="B156" t="s">
        <v>1094</v>
      </c>
    </row>
    <row r="157" spans="1:2" x14ac:dyDescent="0.55000000000000004">
      <c r="A157" t="s">
        <v>1095</v>
      </c>
      <c r="B157" t="s">
        <v>1096</v>
      </c>
    </row>
    <row r="158" spans="1:2" x14ac:dyDescent="0.55000000000000004">
      <c r="A158" t="s">
        <v>1097</v>
      </c>
      <c r="B158" t="s">
        <v>1098</v>
      </c>
    </row>
    <row r="159" spans="1:2" x14ac:dyDescent="0.55000000000000004">
      <c r="A159" t="s">
        <v>1099</v>
      </c>
      <c r="B159" t="s">
        <v>1100</v>
      </c>
    </row>
    <row r="160" spans="1:2" x14ac:dyDescent="0.55000000000000004">
      <c r="A160" t="s">
        <v>1101</v>
      </c>
      <c r="B160" t="s">
        <v>1102</v>
      </c>
    </row>
    <row r="161" spans="1:2" x14ac:dyDescent="0.55000000000000004">
      <c r="A161" t="s">
        <v>1103</v>
      </c>
      <c r="B161" t="s">
        <v>1104</v>
      </c>
    </row>
    <row r="162" spans="1:2" x14ac:dyDescent="0.55000000000000004">
      <c r="A162" t="s">
        <v>1105</v>
      </c>
      <c r="B162" t="s">
        <v>1106</v>
      </c>
    </row>
    <row r="163" spans="1:2" x14ac:dyDescent="0.55000000000000004">
      <c r="A163" t="s">
        <v>1107</v>
      </c>
      <c r="B163" t="s">
        <v>1108</v>
      </c>
    </row>
    <row r="164" spans="1:2" x14ac:dyDescent="0.55000000000000004">
      <c r="A164" t="s">
        <v>1109</v>
      </c>
      <c r="B164" t="s">
        <v>1110</v>
      </c>
    </row>
    <row r="165" spans="1:2" x14ac:dyDescent="0.55000000000000004">
      <c r="A165" t="s">
        <v>1111</v>
      </c>
      <c r="B165" t="s">
        <v>1112</v>
      </c>
    </row>
    <row r="166" spans="1:2" x14ac:dyDescent="0.55000000000000004">
      <c r="A166" t="s">
        <v>1113</v>
      </c>
      <c r="B166" t="s">
        <v>1114</v>
      </c>
    </row>
    <row r="167" spans="1:2" x14ac:dyDescent="0.55000000000000004">
      <c r="A167" t="s">
        <v>1115</v>
      </c>
      <c r="B167" t="s">
        <v>1116</v>
      </c>
    </row>
    <row r="168" spans="1:2" x14ac:dyDescent="0.55000000000000004">
      <c r="A168" t="s">
        <v>1117</v>
      </c>
      <c r="B168" t="s">
        <v>1118</v>
      </c>
    </row>
    <row r="169" spans="1:2" x14ac:dyDescent="0.55000000000000004">
      <c r="A169" t="s">
        <v>1119</v>
      </c>
      <c r="B169" t="s">
        <v>1120</v>
      </c>
    </row>
    <row r="170" spans="1:2" x14ac:dyDescent="0.55000000000000004">
      <c r="A170" t="s">
        <v>1121</v>
      </c>
      <c r="B170" t="s">
        <v>1122</v>
      </c>
    </row>
    <row r="171" spans="1:2" x14ac:dyDescent="0.55000000000000004">
      <c r="A171" t="s">
        <v>1123</v>
      </c>
      <c r="B171" t="s">
        <v>1124</v>
      </c>
    </row>
    <row r="172" spans="1:2" x14ac:dyDescent="0.55000000000000004">
      <c r="A172" t="s">
        <v>1125</v>
      </c>
      <c r="B172" t="s">
        <v>1126</v>
      </c>
    </row>
    <row r="173" spans="1:2" x14ac:dyDescent="0.55000000000000004">
      <c r="A173" t="s">
        <v>1127</v>
      </c>
      <c r="B173" t="s">
        <v>1128</v>
      </c>
    </row>
    <row r="174" spans="1:2" x14ac:dyDescent="0.55000000000000004">
      <c r="A174" t="s">
        <v>1129</v>
      </c>
      <c r="B174" t="s">
        <v>1130</v>
      </c>
    </row>
    <row r="175" spans="1:2" x14ac:dyDescent="0.55000000000000004">
      <c r="A175" t="s">
        <v>1131</v>
      </c>
      <c r="B175" t="s">
        <v>1132</v>
      </c>
    </row>
    <row r="176" spans="1:2" x14ac:dyDescent="0.55000000000000004">
      <c r="A176" t="s">
        <v>1133</v>
      </c>
      <c r="B176" t="s">
        <v>1134</v>
      </c>
    </row>
    <row r="177" spans="1:2" x14ac:dyDescent="0.55000000000000004">
      <c r="A177" t="s">
        <v>1135</v>
      </c>
      <c r="B177" t="s">
        <v>1136</v>
      </c>
    </row>
    <row r="178" spans="1:2" x14ac:dyDescent="0.55000000000000004">
      <c r="A178" t="s">
        <v>1137</v>
      </c>
      <c r="B178" t="s">
        <v>1138</v>
      </c>
    </row>
    <row r="179" spans="1:2" x14ac:dyDescent="0.55000000000000004">
      <c r="A179" t="s">
        <v>1139</v>
      </c>
      <c r="B179" t="s">
        <v>1140</v>
      </c>
    </row>
    <row r="180" spans="1:2" x14ac:dyDescent="0.55000000000000004">
      <c r="A180" t="s">
        <v>1141</v>
      </c>
      <c r="B180" t="s">
        <v>1142</v>
      </c>
    </row>
    <row r="181" spans="1:2" x14ac:dyDescent="0.55000000000000004">
      <c r="A181" t="s">
        <v>1143</v>
      </c>
      <c r="B181" t="s">
        <v>1144</v>
      </c>
    </row>
    <row r="182" spans="1:2" x14ac:dyDescent="0.55000000000000004">
      <c r="A182" t="s">
        <v>1145</v>
      </c>
      <c r="B182" t="s">
        <v>1146</v>
      </c>
    </row>
    <row r="183" spans="1:2" x14ac:dyDescent="0.55000000000000004">
      <c r="A183" t="s">
        <v>1147</v>
      </c>
      <c r="B183" t="s">
        <v>1148</v>
      </c>
    </row>
    <row r="184" spans="1:2" x14ac:dyDescent="0.55000000000000004">
      <c r="A184" t="s">
        <v>1149</v>
      </c>
      <c r="B184" t="s">
        <v>1150</v>
      </c>
    </row>
    <row r="185" spans="1:2" x14ac:dyDescent="0.55000000000000004">
      <c r="A185" t="s">
        <v>1151</v>
      </c>
      <c r="B185" t="s">
        <v>1152</v>
      </c>
    </row>
    <row r="186" spans="1:2" x14ac:dyDescent="0.55000000000000004">
      <c r="A186" t="s">
        <v>1153</v>
      </c>
      <c r="B186" t="s">
        <v>1154</v>
      </c>
    </row>
    <row r="187" spans="1:2" x14ac:dyDescent="0.55000000000000004">
      <c r="A187" t="s">
        <v>1155</v>
      </c>
      <c r="B187" t="s">
        <v>1156</v>
      </c>
    </row>
    <row r="188" spans="1:2" x14ac:dyDescent="0.55000000000000004">
      <c r="A188" t="s">
        <v>1157</v>
      </c>
      <c r="B188" t="s">
        <v>1158</v>
      </c>
    </row>
    <row r="189" spans="1:2" x14ac:dyDescent="0.55000000000000004">
      <c r="A189" t="s">
        <v>1159</v>
      </c>
      <c r="B189" t="s">
        <v>1160</v>
      </c>
    </row>
    <row r="190" spans="1:2" x14ac:dyDescent="0.55000000000000004">
      <c r="A190" t="s">
        <v>1161</v>
      </c>
      <c r="B190" t="s">
        <v>1162</v>
      </c>
    </row>
    <row r="191" spans="1:2" x14ac:dyDescent="0.55000000000000004">
      <c r="A191" t="s">
        <v>1163</v>
      </c>
      <c r="B191" t="s">
        <v>1164</v>
      </c>
    </row>
    <row r="192" spans="1:2" x14ac:dyDescent="0.55000000000000004">
      <c r="A192" t="s">
        <v>1165</v>
      </c>
      <c r="B192" t="s">
        <v>1166</v>
      </c>
    </row>
    <row r="193" spans="1:2" x14ac:dyDescent="0.55000000000000004">
      <c r="A193" t="s">
        <v>1167</v>
      </c>
      <c r="B193" t="s">
        <v>1168</v>
      </c>
    </row>
    <row r="194" spans="1:2" x14ac:dyDescent="0.55000000000000004">
      <c r="A194" t="s">
        <v>1169</v>
      </c>
      <c r="B194" t="s">
        <v>1170</v>
      </c>
    </row>
    <row r="195" spans="1:2" x14ac:dyDescent="0.55000000000000004">
      <c r="A195" t="s">
        <v>1171</v>
      </c>
      <c r="B195" t="s">
        <v>1172</v>
      </c>
    </row>
    <row r="196" spans="1:2" x14ac:dyDescent="0.55000000000000004">
      <c r="A196" t="s">
        <v>1173</v>
      </c>
      <c r="B196" t="s">
        <v>1174</v>
      </c>
    </row>
    <row r="197" spans="1:2" x14ac:dyDescent="0.55000000000000004">
      <c r="A197" t="s">
        <v>1175</v>
      </c>
      <c r="B197" t="s">
        <v>1176</v>
      </c>
    </row>
    <row r="198" spans="1:2" x14ac:dyDescent="0.55000000000000004">
      <c r="A198" t="s">
        <v>1177</v>
      </c>
      <c r="B198" t="s">
        <v>1178</v>
      </c>
    </row>
  </sheetData>
  <dataValidations count="2">
    <dataValidation type="custom" allowBlank="1" showInputMessage="1" showErrorMessage="1" errorTitle="Tips" error="Limit to 24 characters with numbers, letters, '_' only and start with a letter." sqref="J39:J50" xr:uid="{C64D3D9F-A48D-4ED6-B3A5-EF7F3EA332C9}">
      <formula1>AND(LEN(J39)&lt;25,SUMPRODUCT(--ISNUMBER(FIND(MID(J39,ROW(INDIRECT("1:"&amp;LEN(J39))),1),"abcdefghijklmnopqrstuvwxyzABCDEFGHIJKLMNOPQRSTUVWXYZ_"&amp;1/17)))=LEN(J39), LEFT(J39)&lt;="Z", LEFT(J39)&gt;="a")</formula1>
    </dataValidation>
    <dataValidation type="custom" allowBlank="1" showInputMessage="1" showErrorMessage="1" errorTitle="Tips" error="This colunm accepts &quot;A/T/G/C&quot; only." sqref="K39:L50" xr:uid="{4846F8A5-CE79-413C-AA1F-5301F27F2848}">
      <formula1>IF(LEN(K39)=8*LEN(K39)-LEN(SUBSTITUTE(K39,"A",""))-LEN(SUBSTITUTE(K39,"T",""))-LEN(SUBSTITUTE(K39,"G",""))-LEN(SUBSTITUTE(K39,"C",""))-LEN(SUBSTITUTE(K39,"a",""))-LEN(SUBSTITUTE(K39,"t",""))-LEN(SUBSTITUTE(K39,"g",""))-LEN(SUBSTITUTE(K39,"c","")),TRUE,FALSE)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9B93-5BB7-464C-A10B-1726EEAFA54F}">
  <sheetPr>
    <pageSetUpPr fitToPage="1"/>
  </sheetPr>
  <dimension ref="A1:N114"/>
  <sheetViews>
    <sheetView workbookViewId="0">
      <selection activeCell="I13" sqref="I13"/>
    </sheetView>
  </sheetViews>
  <sheetFormatPr defaultRowHeight="14.4" x14ac:dyDescent="0.55000000000000004"/>
  <cols>
    <col min="1" max="2" width="9.15625" style="5"/>
    <col min="4" max="4" width="35.41796875" bestFit="1" customWidth="1"/>
    <col min="5" max="5" width="3.83984375" style="5" bestFit="1" customWidth="1"/>
    <col min="6" max="6" width="4.83984375" style="5" bestFit="1" customWidth="1"/>
    <col min="7" max="7" width="6.41796875" style="5" bestFit="1" customWidth="1"/>
    <col min="8" max="8" width="8" style="5" bestFit="1" customWidth="1"/>
    <col min="10" max="10" width="35.26171875" bestFit="1" customWidth="1"/>
    <col min="11" max="11" width="3.83984375" style="5" bestFit="1" customWidth="1"/>
    <col min="12" max="12" width="4.83984375" style="5" bestFit="1" customWidth="1"/>
    <col min="13" max="13" width="6.26171875" style="5" bestFit="1" customWidth="1"/>
    <col min="14" max="14" width="4" style="5" bestFit="1" customWidth="1"/>
  </cols>
  <sheetData>
    <row r="1" spans="1:14" ht="28.8" x14ac:dyDescent="0.55000000000000004">
      <c r="A1" s="12" t="s">
        <v>453</v>
      </c>
      <c r="B1" s="12" t="s">
        <v>452</v>
      </c>
      <c r="D1" s="15" t="s">
        <v>455</v>
      </c>
      <c r="E1" s="12" t="s">
        <v>457</v>
      </c>
      <c r="F1" s="12" t="s">
        <v>456</v>
      </c>
      <c r="G1" s="12" t="s">
        <v>454</v>
      </c>
      <c r="H1" s="12" t="s">
        <v>458</v>
      </c>
      <c r="J1" s="15" t="s">
        <v>455</v>
      </c>
      <c r="K1" s="12" t="s">
        <v>457</v>
      </c>
      <c r="L1" s="12" t="s">
        <v>456</v>
      </c>
      <c r="M1" s="12" t="s">
        <v>454</v>
      </c>
      <c r="N1" s="12" t="s">
        <v>458</v>
      </c>
    </row>
    <row r="2" spans="1:14" x14ac:dyDescent="0.55000000000000004">
      <c r="A2" s="13" t="s">
        <v>418</v>
      </c>
      <c r="B2" s="14">
        <v>0.48458249999999992</v>
      </c>
      <c r="D2" s="16" t="s">
        <v>413</v>
      </c>
      <c r="E2" s="13">
        <v>1</v>
      </c>
      <c r="F2" s="13" t="s">
        <v>73</v>
      </c>
      <c r="G2" s="13" t="s">
        <v>415</v>
      </c>
      <c r="H2" s="13">
        <v>1.5</v>
      </c>
      <c r="J2" s="16" t="s">
        <v>419</v>
      </c>
      <c r="K2" s="13">
        <v>1</v>
      </c>
      <c r="L2" s="13" t="s">
        <v>73</v>
      </c>
      <c r="M2" s="13" t="s">
        <v>80</v>
      </c>
      <c r="N2" s="13">
        <v>1.5</v>
      </c>
    </row>
    <row r="3" spans="1:14" x14ac:dyDescent="0.55000000000000004">
      <c r="A3" s="13" t="s">
        <v>430</v>
      </c>
      <c r="B3" s="14">
        <v>0.78360750000000001</v>
      </c>
      <c r="D3" s="16" t="s">
        <v>413</v>
      </c>
      <c r="E3" s="13">
        <v>1</v>
      </c>
      <c r="F3" s="13" t="s">
        <v>87</v>
      </c>
      <c r="G3" s="13" t="s">
        <v>415</v>
      </c>
      <c r="H3" s="13">
        <v>1.5</v>
      </c>
      <c r="J3" s="16" t="s">
        <v>419</v>
      </c>
      <c r="K3" s="13">
        <v>1</v>
      </c>
      <c r="L3" s="13" t="s">
        <v>76</v>
      </c>
      <c r="M3" s="13" t="s">
        <v>80</v>
      </c>
      <c r="N3" s="13">
        <v>1.5</v>
      </c>
    </row>
    <row r="4" spans="1:14" x14ac:dyDescent="0.55000000000000004">
      <c r="A4" s="13" t="s">
        <v>431</v>
      </c>
      <c r="B4" s="14">
        <v>0.94085624999999995</v>
      </c>
      <c r="D4" s="16" t="s">
        <v>413</v>
      </c>
      <c r="E4" s="13">
        <v>1</v>
      </c>
      <c r="F4" s="13" t="s">
        <v>91</v>
      </c>
      <c r="G4" s="13" t="s">
        <v>415</v>
      </c>
      <c r="H4" s="13">
        <v>1.5</v>
      </c>
      <c r="J4" s="16" t="s">
        <v>419</v>
      </c>
      <c r="K4" s="13">
        <v>1</v>
      </c>
      <c r="L4" s="13" t="s">
        <v>83</v>
      </c>
      <c r="M4" s="13" t="s">
        <v>80</v>
      </c>
      <c r="N4" s="13">
        <v>1.5</v>
      </c>
    </row>
    <row r="5" spans="1:14" x14ac:dyDescent="0.55000000000000004">
      <c r="A5" s="13" t="s">
        <v>432</v>
      </c>
      <c r="B5" s="14">
        <v>0.66305507022758725</v>
      </c>
      <c r="D5" s="16" t="s">
        <v>413</v>
      </c>
      <c r="E5" s="13">
        <v>2</v>
      </c>
      <c r="F5" s="13" t="s">
        <v>73</v>
      </c>
      <c r="G5" s="13" t="s">
        <v>415</v>
      </c>
      <c r="H5" s="13">
        <v>1.5</v>
      </c>
      <c r="J5" s="16" t="s">
        <v>419</v>
      </c>
      <c r="K5" s="13">
        <v>1</v>
      </c>
      <c r="L5" s="13" t="s">
        <v>84</v>
      </c>
      <c r="M5" s="13" t="s">
        <v>80</v>
      </c>
      <c r="N5" s="13">
        <v>1.5</v>
      </c>
    </row>
    <row r="6" spans="1:14" x14ac:dyDescent="0.55000000000000004">
      <c r="A6" s="13" t="s">
        <v>428</v>
      </c>
      <c r="B6" s="14">
        <v>0.55622624999999992</v>
      </c>
      <c r="D6" s="16" t="s">
        <v>413</v>
      </c>
      <c r="E6" s="13">
        <v>2</v>
      </c>
      <c r="F6" s="13" t="s">
        <v>84</v>
      </c>
      <c r="G6" s="13" t="s">
        <v>415</v>
      </c>
      <c r="H6" s="13">
        <v>1.5</v>
      </c>
      <c r="J6" s="16" t="s">
        <v>419</v>
      </c>
      <c r="K6" s="13">
        <v>1</v>
      </c>
      <c r="L6" s="13" t="s">
        <v>87</v>
      </c>
      <c r="M6" s="13" t="s">
        <v>80</v>
      </c>
      <c r="N6" s="13">
        <v>1.5</v>
      </c>
    </row>
    <row r="7" spans="1:14" x14ac:dyDescent="0.55000000000000004">
      <c r="A7" s="13" t="s">
        <v>445</v>
      </c>
      <c r="B7" s="14">
        <v>0.79389749999999992</v>
      </c>
      <c r="D7" s="16" t="s">
        <v>413</v>
      </c>
      <c r="E7" s="13">
        <v>2</v>
      </c>
      <c r="F7" s="13" t="s">
        <v>91</v>
      </c>
      <c r="G7" s="13" t="s">
        <v>415</v>
      </c>
      <c r="H7" s="13">
        <v>1.5</v>
      </c>
      <c r="J7" s="16" t="s">
        <v>419</v>
      </c>
      <c r="K7" s="13">
        <v>1</v>
      </c>
      <c r="L7" s="13" t="s">
        <v>88</v>
      </c>
      <c r="M7" s="13" t="s">
        <v>80</v>
      </c>
      <c r="N7" s="13">
        <v>1.5</v>
      </c>
    </row>
    <row r="8" spans="1:14" x14ac:dyDescent="0.55000000000000004">
      <c r="A8" s="13" t="s">
        <v>433</v>
      </c>
      <c r="B8" s="14">
        <v>0.97735124999999989</v>
      </c>
      <c r="D8" s="16" t="s">
        <v>413</v>
      </c>
      <c r="E8" s="13">
        <v>3</v>
      </c>
      <c r="F8" s="13" t="s">
        <v>73</v>
      </c>
      <c r="G8" s="13" t="s">
        <v>415</v>
      </c>
      <c r="H8" s="13">
        <v>1.5</v>
      </c>
      <c r="J8" s="16" t="s">
        <v>419</v>
      </c>
      <c r="K8" s="13">
        <v>1</v>
      </c>
      <c r="L8" s="13" t="s">
        <v>91</v>
      </c>
      <c r="M8" s="13" t="s">
        <v>80</v>
      </c>
      <c r="N8" s="13">
        <v>1.5</v>
      </c>
    </row>
    <row r="9" spans="1:14" x14ac:dyDescent="0.55000000000000004">
      <c r="A9" s="13" t="s">
        <v>447</v>
      </c>
      <c r="B9" s="14">
        <v>0.71455499999999983</v>
      </c>
      <c r="D9" s="16" t="s">
        <v>413</v>
      </c>
      <c r="E9" s="13">
        <v>3</v>
      </c>
      <c r="F9" s="13" t="s">
        <v>76</v>
      </c>
      <c r="G9" s="13" t="s">
        <v>415</v>
      </c>
      <c r="H9" s="13">
        <v>1.5</v>
      </c>
      <c r="J9" s="16" t="s">
        <v>419</v>
      </c>
      <c r="K9" s="13">
        <v>1</v>
      </c>
      <c r="L9" s="13" t="s">
        <v>92</v>
      </c>
      <c r="M9" s="13" t="s">
        <v>80</v>
      </c>
      <c r="N9" s="13">
        <v>1.5</v>
      </c>
    </row>
    <row r="10" spans="1:14" x14ac:dyDescent="0.55000000000000004">
      <c r="A10" s="13" t="s">
        <v>424</v>
      </c>
      <c r="B10" s="14">
        <v>0.56626874999999988</v>
      </c>
      <c r="D10" s="16" t="s">
        <v>413</v>
      </c>
      <c r="E10" s="13">
        <v>3</v>
      </c>
      <c r="F10" s="13" t="s">
        <v>84</v>
      </c>
      <c r="G10" s="13" t="s">
        <v>415</v>
      </c>
      <c r="H10" s="13">
        <v>1.5</v>
      </c>
      <c r="J10" s="16" t="s">
        <v>419</v>
      </c>
      <c r="K10" s="13">
        <v>2</v>
      </c>
      <c r="L10" s="13" t="s">
        <v>73</v>
      </c>
      <c r="M10" s="13" t="s">
        <v>80</v>
      </c>
      <c r="N10" s="13">
        <v>1.5</v>
      </c>
    </row>
    <row r="11" spans="1:14" x14ac:dyDescent="0.55000000000000004">
      <c r="A11" s="13" t="s">
        <v>444</v>
      </c>
      <c r="B11" s="14">
        <v>0.80308500000000027</v>
      </c>
      <c r="D11" s="16" t="s">
        <v>413</v>
      </c>
      <c r="E11" s="13">
        <v>3</v>
      </c>
      <c r="F11" s="13" t="s">
        <v>87</v>
      </c>
      <c r="G11" s="13" t="s">
        <v>415</v>
      </c>
      <c r="H11" s="13">
        <v>1.5</v>
      </c>
      <c r="J11" s="16" t="s">
        <v>419</v>
      </c>
      <c r="K11" s="13">
        <v>2</v>
      </c>
      <c r="L11" s="13" t="s">
        <v>76</v>
      </c>
      <c r="M11" s="13" t="s">
        <v>80</v>
      </c>
      <c r="N11" s="13">
        <v>1.5</v>
      </c>
    </row>
    <row r="12" spans="1:14" x14ac:dyDescent="0.55000000000000004">
      <c r="A12" s="13" t="s">
        <v>443</v>
      </c>
      <c r="B12" s="14">
        <v>0.81675899999999979</v>
      </c>
      <c r="D12" s="16" t="s">
        <v>413</v>
      </c>
      <c r="E12" s="13">
        <v>4</v>
      </c>
      <c r="F12" s="13" t="s">
        <v>73</v>
      </c>
      <c r="G12" s="13" t="s">
        <v>415</v>
      </c>
      <c r="H12" s="13">
        <v>1.5</v>
      </c>
      <c r="J12" s="16" t="s">
        <v>419</v>
      </c>
      <c r="K12" s="13">
        <v>2</v>
      </c>
      <c r="L12" s="13" t="s">
        <v>83</v>
      </c>
      <c r="M12" s="13" t="s">
        <v>80</v>
      </c>
      <c r="N12" s="13">
        <v>1.5</v>
      </c>
    </row>
    <row r="13" spans="1:14" x14ac:dyDescent="0.55000000000000004">
      <c r="A13" s="13" t="s">
        <v>426</v>
      </c>
      <c r="B13" s="14">
        <v>0.68032499999999985</v>
      </c>
      <c r="D13" s="16" t="s">
        <v>413</v>
      </c>
      <c r="E13" s="13">
        <v>4</v>
      </c>
      <c r="F13" s="13" t="s">
        <v>83</v>
      </c>
      <c r="G13" s="13" t="s">
        <v>415</v>
      </c>
      <c r="H13" s="13">
        <v>1.5</v>
      </c>
      <c r="J13" s="16" t="s">
        <v>419</v>
      </c>
      <c r="K13" s="13">
        <v>2</v>
      </c>
      <c r="L13" s="13" t="s">
        <v>84</v>
      </c>
      <c r="M13" s="13" t="s">
        <v>80</v>
      </c>
      <c r="N13" s="13">
        <v>1.5</v>
      </c>
    </row>
    <row r="14" spans="1:14" x14ac:dyDescent="0.55000000000000004">
      <c r="A14" s="13" t="s">
        <v>442</v>
      </c>
      <c r="B14" s="14">
        <v>0.81842624999999991</v>
      </c>
      <c r="D14" s="16" t="s">
        <v>413</v>
      </c>
      <c r="E14" s="13">
        <v>4</v>
      </c>
      <c r="F14" s="13" t="s">
        <v>88</v>
      </c>
      <c r="G14" s="13" t="s">
        <v>415</v>
      </c>
      <c r="H14" s="13">
        <v>1.5</v>
      </c>
      <c r="J14" s="16" t="s">
        <v>419</v>
      </c>
      <c r="K14" s="13">
        <v>2</v>
      </c>
      <c r="L14" s="13" t="s">
        <v>87</v>
      </c>
      <c r="M14" s="13" t="s">
        <v>80</v>
      </c>
      <c r="N14" s="13">
        <v>1.5</v>
      </c>
    </row>
    <row r="15" spans="1:14" x14ac:dyDescent="0.55000000000000004">
      <c r="A15" s="13" t="s">
        <v>439</v>
      </c>
      <c r="B15" s="14">
        <v>0.84214109051303598</v>
      </c>
      <c r="D15" s="16" t="s">
        <v>413</v>
      </c>
      <c r="E15" s="13">
        <v>5</v>
      </c>
      <c r="F15" s="13" t="s">
        <v>73</v>
      </c>
      <c r="G15" s="13" t="s">
        <v>415</v>
      </c>
      <c r="H15" s="13">
        <v>1.5</v>
      </c>
      <c r="J15" s="16" t="s">
        <v>419</v>
      </c>
      <c r="K15" s="13">
        <v>2</v>
      </c>
      <c r="L15" s="13" t="s">
        <v>88</v>
      </c>
      <c r="M15" s="13" t="s">
        <v>80</v>
      </c>
      <c r="N15" s="13">
        <v>1.5</v>
      </c>
    </row>
    <row r="16" spans="1:14" x14ac:dyDescent="0.55000000000000004">
      <c r="A16" s="13" t="s">
        <v>429</v>
      </c>
      <c r="B16" s="14">
        <v>0.70663874999999976</v>
      </c>
      <c r="D16" s="16" t="s">
        <v>413</v>
      </c>
      <c r="E16" s="13">
        <v>5</v>
      </c>
      <c r="F16" s="13" t="s">
        <v>83</v>
      </c>
      <c r="G16" s="13" t="s">
        <v>415</v>
      </c>
      <c r="H16" s="13">
        <v>1.5</v>
      </c>
      <c r="J16" s="16" t="s">
        <v>419</v>
      </c>
      <c r="K16" s="13">
        <v>2</v>
      </c>
      <c r="L16" s="13" t="s">
        <v>91</v>
      </c>
      <c r="M16" s="13" t="s">
        <v>80</v>
      </c>
      <c r="N16" s="13">
        <v>1.5</v>
      </c>
    </row>
    <row r="17" spans="1:14" x14ac:dyDescent="0.55000000000000004">
      <c r="A17" s="13" t="s">
        <v>441</v>
      </c>
      <c r="B17" s="14">
        <v>0.82987125000000006</v>
      </c>
      <c r="D17" s="16" t="s">
        <v>413</v>
      </c>
      <c r="E17" s="13">
        <v>6</v>
      </c>
      <c r="F17" s="13" t="s">
        <v>84</v>
      </c>
      <c r="G17" s="13" t="s">
        <v>415</v>
      </c>
      <c r="H17" s="13">
        <v>1.5</v>
      </c>
      <c r="J17" s="16" t="s">
        <v>419</v>
      </c>
      <c r="K17" s="13">
        <v>2</v>
      </c>
      <c r="L17" s="13" t="s">
        <v>92</v>
      </c>
      <c r="M17" s="13" t="s">
        <v>80</v>
      </c>
      <c r="N17" s="13">
        <v>1.5</v>
      </c>
    </row>
    <row r="18" spans="1:14" x14ac:dyDescent="0.55000000000000004">
      <c r="A18" s="13" t="s">
        <v>451</v>
      </c>
      <c r="B18" s="14">
        <v>0.55456536044110649</v>
      </c>
      <c r="D18" s="16" t="s">
        <v>413</v>
      </c>
      <c r="E18" s="13">
        <v>6</v>
      </c>
      <c r="F18" s="13" t="s">
        <v>88</v>
      </c>
      <c r="G18" s="13" t="s">
        <v>415</v>
      </c>
      <c r="H18" s="13">
        <v>1.5</v>
      </c>
      <c r="J18" s="16" t="s">
        <v>419</v>
      </c>
      <c r="K18" s="13">
        <v>3</v>
      </c>
      <c r="L18" s="13" t="s">
        <v>73</v>
      </c>
      <c r="M18" s="13" t="s">
        <v>80</v>
      </c>
      <c r="N18" s="13">
        <v>1.5</v>
      </c>
    </row>
    <row r="19" spans="1:14" x14ac:dyDescent="0.55000000000000004">
      <c r="A19" s="13" t="s">
        <v>438</v>
      </c>
      <c r="B19" s="14">
        <v>0.86540468788999592</v>
      </c>
      <c r="D19" s="16" t="s">
        <v>413</v>
      </c>
      <c r="E19" s="13">
        <v>7</v>
      </c>
      <c r="F19" s="13" t="s">
        <v>73</v>
      </c>
      <c r="G19" s="13" t="s">
        <v>415</v>
      </c>
      <c r="H19" s="13">
        <v>1.5</v>
      </c>
      <c r="J19" s="16" t="s">
        <v>419</v>
      </c>
      <c r="K19" s="13">
        <v>3</v>
      </c>
      <c r="L19" s="13" t="s">
        <v>76</v>
      </c>
      <c r="M19" s="13" t="s">
        <v>80</v>
      </c>
      <c r="N19" s="13">
        <v>1.5</v>
      </c>
    </row>
    <row r="20" spans="1:14" x14ac:dyDescent="0.55000000000000004">
      <c r="A20" s="13" t="s">
        <v>427</v>
      </c>
      <c r="B20" s="14">
        <v>0.72683249999999999</v>
      </c>
      <c r="D20" s="16" t="s">
        <v>413</v>
      </c>
      <c r="E20" s="13">
        <v>7</v>
      </c>
      <c r="F20" s="13" t="s">
        <v>84</v>
      </c>
      <c r="G20" s="13" t="s">
        <v>415</v>
      </c>
      <c r="H20" s="13">
        <v>1.5</v>
      </c>
      <c r="J20" s="16" t="s">
        <v>419</v>
      </c>
      <c r="K20" s="13">
        <v>3</v>
      </c>
      <c r="L20" s="13" t="s">
        <v>83</v>
      </c>
      <c r="M20" s="13" t="s">
        <v>80</v>
      </c>
      <c r="N20" s="13">
        <v>1.5</v>
      </c>
    </row>
    <row r="21" spans="1:14" x14ac:dyDescent="0.55000000000000004">
      <c r="A21" s="13" t="s">
        <v>440</v>
      </c>
      <c r="B21" s="14">
        <v>0.84205875000000008</v>
      </c>
      <c r="D21" s="16" t="s">
        <v>413</v>
      </c>
      <c r="E21" s="13">
        <v>7</v>
      </c>
      <c r="F21" s="13" t="s">
        <v>88</v>
      </c>
      <c r="G21" s="13" t="s">
        <v>415</v>
      </c>
      <c r="H21" s="13">
        <v>1.5</v>
      </c>
      <c r="J21" s="16" t="s">
        <v>419</v>
      </c>
      <c r="K21" s="13">
        <v>3</v>
      </c>
      <c r="L21" s="13" t="s">
        <v>84</v>
      </c>
      <c r="M21" s="13" t="s">
        <v>80</v>
      </c>
      <c r="N21" s="13">
        <v>1.5</v>
      </c>
    </row>
    <row r="22" spans="1:14" x14ac:dyDescent="0.55000000000000004">
      <c r="A22" s="13" t="s">
        <v>450</v>
      </c>
      <c r="B22" s="14">
        <v>0.56113430600621728</v>
      </c>
      <c r="D22" s="16" t="s">
        <v>413</v>
      </c>
      <c r="E22" s="13">
        <v>8</v>
      </c>
      <c r="F22" s="13" t="s">
        <v>73</v>
      </c>
      <c r="G22" s="13" t="s">
        <v>415</v>
      </c>
      <c r="H22" s="13">
        <v>1.5</v>
      </c>
      <c r="J22" s="16" t="s">
        <v>419</v>
      </c>
      <c r="K22" s="13">
        <v>3</v>
      </c>
      <c r="L22" s="13" t="s">
        <v>87</v>
      </c>
      <c r="M22" s="13" t="s">
        <v>80</v>
      </c>
      <c r="N22" s="13">
        <v>1.5</v>
      </c>
    </row>
    <row r="23" spans="1:14" x14ac:dyDescent="0.55000000000000004">
      <c r="A23" s="13" t="s">
        <v>436</v>
      </c>
      <c r="B23" s="14">
        <v>0.91913616664019449</v>
      </c>
      <c r="D23" s="16" t="s">
        <v>413</v>
      </c>
      <c r="E23" s="13">
        <v>8</v>
      </c>
      <c r="F23" s="13" t="s">
        <v>76</v>
      </c>
      <c r="G23" s="13" t="s">
        <v>415</v>
      </c>
      <c r="H23" s="13">
        <v>1.5</v>
      </c>
      <c r="J23" s="16" t="s">
        <v>419</v>
      </c>
      <c r="K23" s="13">
        <v>3</v>
      </c>
      <c r="L23" s="13" t="s">
        <v>88</v>
      </c>
      <c r="M23" s="13" t="s">
        <v>80</v>
      </c>
      <c r="N23" s="13">
        <v>1.5</v>
      </c>
    </row>
    <row r="24" spans="1:14" x14ac:dyDescent="0.55000000000000004">
      <c r="A24" s="13" t="s">
        <v>425</v>
      </c>
      <c r="B24" s="14">
        <v>0.75950624999999983</v>
      </c>
      <c r="D24" s="16" t="s">
        <v>413</v>
      </c>
      <c r="E24" s="13">
        <v>8</v>
      </c>
      <c r="F24" s="13" t="s">
        <v>87</v>
      </c>
      <c r="G24" s="13" t="s">
        <v>415</v>
      </c>
      <c r="H24" s="13">
        <v>1.5</v>
      </c>
      <c r="J24" s="16" t="s">
        <v>419</v>
      </c>
      <c r="K24" s="13">
        <v>3</v>
      </c>
      <c r="L24" s="13" t="s">
        <v>91</v>
      </c>
      <c r="M24" s="13" t="s">
        <v>80</v>
      </c>
      <c r="N24" s="13">
        <v>1.5</v>
      </c>
    </row>
    <row r="25" spans="1:14" x14ac:dyDescent="0.55000000000000004">
      <c r="A25" s="13" t="s">
        <v>437</v>
      </c>
      <c r="B25" s="14">
        <v>0.87532124999999983</v>
      </c>
      <c r="D25" s="16" t="s">
        <v>413</v>
      </c>
      <c r="E25" s="13">
        <v>9</v>
      </c>
      <c r="F25" s="13" t="s">
        <v>73</v>
      </c>
      <c r="G25" s="13" t="s">
        <v>415</v>
      </c>
      <c r="H25" s="13">
        <v>1.5</v>
      </c>
      <c r="J25" s="16" t="s">
        <v>419</v>
      </c>
      <c r="K25" s="13">
        <v>3</v>
      </c>
      <c r="L25" s="13" t="s">
        <v>92</v>
      </c>
      <c r="M25" s="13" t="s">
        <v>80</v>
      </c>
      <c r="N25" s="13">
        <v>1.5</v>
      </c>
    </row>
    <row r="26" spans="1:14" x14ac:dyDescent="0.55000000000000004">
      <c r="A26" s="13" t="s">
        <v>449</v>
      </c>
      <c r="B26" s="14">
        <v>0.5979158630391872</v>
      </c>
      <c r="D26" s="16" t="s">
        <v>413</v>
      </c>
      <c r="E26" s="13">
        <v>9</v>
      </c>
      <c r="F26" s="13" t="s">
        <v>84</v>
      </c>
      <c r="G26" s="13" t="s">
        <v>415</v>
      </c>
      <c r="H26" s="13">
        <v>1.5</v>
      </c>
      <c r="J26" s="16" t="s">
        <v>419</v>
      </c>
      <c r="K26" s="13">
        <v>4</v>
      </c>
      <c r="L26" s="13" t="s">
        <v>73</v>
      </c>
      <c r="M26" s="13" t="s">
        <v>80</v>
      </c>
      <c r="N26" s="13">
        <v>1.5</v>
      </c>
    </row>
    <row r="27" spans="1:14" x14ac:dyDescent="0.55000000000000004">
      <c r="A27" s="13" t="s">
        <v>434</v>
      </c>
      <c r="B27" s="14">
        <v>0.9451339883370018</v>
      </c>
      <c r="D27" s="16" t="s">
        <v>413</v>
      </c>
      <c r="E27" s="13">
        <v>9</v>
      </c>
      <c r="F27" s="13" t="s">
        <v>88</v>
      </c>
      <c r="G27" s="13" t="s">
        <v>415</v>
      </c>
      <c r="H27" s="13">
        <v>1.5</v>
      </c>
      <c r="J27" s="16" t="s">
        <v>419</v>
      </c>
      <c r="K27" s="13">
        <v>4</v>
      </c>
      <c r="L27" s="13" t="s">
        <v>76</v>
      </c>
      <c r="M27" s="13" t="s">
        <v>80</v>
      </c>
      <c r="N27" s="13">
        <v>1.5</v>
      </c>
    </row>
    <row r="28" spans="1:14" x14ac:dyDescent="0.55000000000000004">
      <c r="A28" s="13" t="s">
        <v>446</v>
      </c>
      <c r="B28" s="14">
        <v>0.78212249999999983</v>
      </c>
      <c r="D28" s="16" t="s">
        <v>413</v>
      </c>
      <c r="E28" s="13">
        <v>10</v>
      </c>
      <c r="F28" s="13" t="s">
        <v>73</v>
      </c>
      <c r="G28" s="13" t="s">
        <v>415</v>
      </c>
      <c r="H28" s="13">
        <v>1.5</v>
      </c>
      <c r="J28" s="16" t="s">
        <v>419</v>
      </c>
      <c r="K28" s="13">
        <v>4</v>
      </c>
      <c r="L28" s="13" t="s">
        <v>83</v>
      </c>
      <c r="M28" s="13" t="s">
        <v>80</v>
      </c>
      <c r="N28" s="13">
        <v>1.5</v>
      </c>
    </row>
    <row r="29" spans="1:14" x14ac:dyDescent="0.55000000000000004">
      <c r="A29" s="13" t="s">
        <v>435</v>
      </c>
      <c r="B29" s="14">
        <v>0.93382874999999999</v>
      </c>
      <c r="D29" s="16" t="s">
        <v>413</v>
      </c>
      <c r="E29" s="13">
        <v>10</v>
      </c>
      <c r="F29" s="13" t="s">
        <v>76</v>
      </c>
      <c r="G29" s="13" t="s">
        <v>415</v>
      </c>
      <c r="H29" s="13">
        <v>1.5</v>
      </c>
      <c r="J29" s="16" t="s">
        <v>419</v>
      </c>
      <c r="K29" s="13">
        <v>4</v>
      </c>
      <c r="L29" s="13" t="s">
        <v>84</v>
      </c>
      <c r="M29" s="13" t="s">
        <v>80</v>
      </c>
      <c r="N29" s="13">
        <v>1.5</v>
      </c>
    </row>
    <row r="30" spans="1:14" x14ac:dyDescent="0.55000000000000004">
      <c r="A30" s="13" t="s">
        <v>448</v>
      </c>
      <c r="B30" s="14">
        <v>0.64434662249551877</v>
      </c>
      <c r="D30" s="16" t="s">
        <v>413</v>
      </c>
      <c r="E30" s="13">
        <v>10</v>
      </c>
      <c r="F30" s="13" t="s">
        <v>88</v>
      </c>
      <c r="G30" s="13" t="s">
        <v>415</v>
      </c>
      <c r="H30" s="13">
        <v>1.5</v>
      </c>
      <c r="J30" s="16" t="s">
        <v>419</v>
      </c>
      <c r="K30" s="13">
        <v>4</v>
      </c>
      <c r="L30" s="13" t="s">
        <v>87</v>
      </c>
      <c r="M30" s="13" t="s">
        <v>80</v>
      </c>
      <c r="N30" s="13">
        <v>1.5</v>
      </c>
    </row>
    <row r="31" spans="1:14" x14ac:dyDescent="0.55000000000000004">
      <c r="D31" s="16" t="s">
        <v>413</v>
      </c>
      <c r="E31" s="13">
        <v>11</v>
      </c>
      <c r="F31" s="13" t="s">
        <v>83</v>
      </c>
      <c r="G31" s="13" t="s">
        <v>415</v>
      </c>
      <c r="H31" s="13">
        <v>1.5</v>
      </c>
      <c r="J31" s="16" t="s">
        <v>419</v>
      </c>
      <c r="K31" s="13">
        <v>4</v>
      </c>
      <c r="L31" s="13" t="s">
        <v>88</v>
      </c>
      <c r="M31" s="13" t="s">
        <v>80</v>
      </c>
      <c r="N31" s="13">
        <v>1.5</v>
      </c>
    </row>
    <row r="32" spans="1:14" x14ac:dyDescent="0.55000000000000004">
      <c r="D32" s="16" t="s">
        <v>413</v>
      </c>
      <c r="E32" s="13">
        <v>11</v>
      </c>
      <c r="F32" s="13" t="s">
        <v>87</v>
      </c>
      <c r="G32" s="13" t="s">
        <v>415</v>
      </c>
      <c r="H32" s="13">
        <v>1.5</v>
      </c>
      <c r="J32" s="16" t="s">
        <v>419</v>
      </c>
      <c r="K32" s="13">
        <v>4</v>
      </c>
      <c r="L32" s="13" t="s">
        <v>91</v>
      </c>
      <c r="M32" s="13" t="s">
        <v>80</v>
      </c>
      <c r="N32" s="13">
        <v>1.5</v>
      </c>
    </row>
    <row r="33" spans="4:14" x14ac:dyDescent="0.55000000000000004">
      <c r="D33" s="16" t="s">
        <v>413</v>
      </c>
      <c r="E33" s="13">
        <v>11</v>
      </c>
      <c r="F33" s="13" t="s">
        <v>88</v>
      </c>
      <c r="G33" s="13" t="s">
        <v>415</v>
      </c>
      <c r="H33" s="13">
        <v>1.5</v>
      </c>
      <c r="J33" s="16" t="s">
        <v>419</v>
      </c>
      <c r="K33" s="13">
        <v>4</v>
      </c>
      <c r="L33" s="13" t="s">
        <v>92</v>
      </c>
      <c r="M33" s="13" t="s">
        <v>80</v>
      </c>
      <c r="N33" s="13">
        <v>1.5</v>
      </c>
    </row>
    <row r="34" spans="4:14" x14ac:dyDescent="0.55000000000000004">
      <c r="D34" s="16" t="s">
        <v>413</v>
      </c>
      <c r="E34" s="13">
        <v>12</v>
      </c>
      <c r="F34" s="13" t="s">
        <v>76</v>
      </c>
      <c r="G34" s="13" t="s">
        <v>415</v>
      </c>
      <c r="H34" s="13">
        <v>1.5</v>
      </c>
      <c r="J34" s="16" t="s">
        <v>419</v>
      </c>
      <c r="K34" s="13">
        <v>5</v>
      </c>
      <c r="L34" s="13" t="s">
        <v>73</v>
      </c>
      <c r="M34" s="13" t="s">
        <v>80</v>
      </c>
      <c r="N34" s="13">
        <v>1.5</v>
      </c>
    </row>
    <row r="35" spans="4:14" x14ac:dyDescent="0.55000000000000004">
      <c r="D35" s="16" t="s">
        <v>420</v>
      </c>
      <c r="E35" s="13">
        <v>1</v>
      </c>
      <c r="F35" s="13" t="s">
        <v>73</v>
      </c>
      <c r="G35" s="13" t="s">
        <v>415</v>
      </c>
      <c r="H35" s="13">
        <v>1.5</v>
      </c>
      <c r="J35" s="16" t="s">
        <v>419</v>
      </c>
      <c r="K35" s="13">
        <v>5</v>
      </c>
      <c r="L35" s="13" t="s">
        <v>76</v>
      </c>
      <c r="M35" s="13" t="s">
        <v>80</v>
      </c>
      <c r="N35" s="13">
        <v>1.5</v>
      </c>
    </row>
    <row r="36" spans="4:14" x14ac:dyDescent="0.55000000000000004">
      <c r="D36" s="16" t="s">
        <v>420</v>
      </c>
      <c r="E36" s="13">
        <v>1</v>
      </c>
      <c r="F36" s="13" t="s">
        <v>76</v>
      </c>
      <c r="G36" s="13" t="s">
        <v>415</v>
      </c>
      <c r="H36" s="13">
        <v>1.5</v>
      </c>
      <c r="J36" s="16" t="s">
        <v>419</v>
      </c>
      <c r="K36" s="13">
        <v>5</v>
      </c>
      <c r="L36" s="13" t="s">
        <v>83</v>
      </c>
      <c r="M36" s="13" t="s">
        <v>80</v>
      </c>
      <c r="N36" s="13">
        <v>1.5</v>
      </c>
    </row>
    <row r="37" spans="4:14" x14ac:dyDescent="0.55000000000000004">
      <c r="D37" s="16" t="s">
        <v>420</v>
      </c>
      <c r="E37" s="13">
        <v>1</v>
      </c>
      <c r="F37" s="13" t="s">
        <v>83</v>
      </c>
      <c r="G37" s="13" t="s">
        <v>415</v>
      </c>
      <c r="H37" s="13">
        <v>1.5</v>
      </c>
      <c r="J37" s="16" t="s">
        <v>419</v>
      </c>
      <c r="K37" s="13">
        <v>5</v>
      </c>
      <c r="L37" s="13" t="s">
        <v>84</v>
      </c>
      <c r="M37" s="13" t="s">
        <v>80</v>
      </c>
      <c r="N37" s="13">
        <v>1.5</v>
      </c>
    </row>
    <row r="38" spans="4:14" x14ac:dyDescent="0.55000000000000004">
      <c r="D38" s="16" t="s">
        <v>420</v>
      </c>
      <c r="E38" s="13">
        <v>1</v>
      </c>
      <c r="F38" s="13" t="s">
        <v>84</v>
      </c>
      <c r="G38" s="13" t="s">
        <v>415</v>
      </c>
      <c r="H38" s="13">
        <v>1.5</v>
      </c>
      <c r="J38" s="16" t="s">
        <v>419</v>
      </c>
      <c r="K38" s="13">
        <v>5</v>
      </c>
      <c r="L38" s="13" t="s">
        <v>87</v>
      </c>
      <c r="M38" s="13" t="s">
        <v>80</v>
      </c>
      <c r="N38" s="13">
        <v>1.5</v>
      </c>
    </row>
    <row r="39" spans="4:14" x14ac:dyDescent="0.55000000000000004">
      <c r="D39" s="16" t="s">
        <v>420</v>
      </c>
      <c r="E39" s="13">
        <v>1</v>
      </c>
      <c r="F39" s="13" t="s">
        <v>87</v>
      </c>
      <c r="G39" s="13" t="s">
        <v>415</v>
      </c>
      <c r="H39" s="13">
        <v>1.5</v>
      </c>
      <c r="J39" s="16" t="s">
        <v>419</v>
      </c>
      <c r="K39" s="13">
        <v>5</v>
      </c>
      <c r="L39" s="13" t="s">
        <v>88</v>
      </c>
      <c r="M39" s="13" t="s">
        <v>80</v>
      </c>
      <c r="N39" s="13">
        <v>1.5</v>
      </c>
    </row>
    <row r="40" spans="4:14" x14ac:dyDescent="0.55000000000000004">
      <c r="D40" s="16" t="s">
        <v>420</v>
      </c>
      <c r="E40" s="13">
        <v>1</v>
      </c>
      <c r="F40" s="13" t="s">
        <v>88</v>
      </c>
      <c r="G40" s="13" t="s">
        <v>415</v>
      </c>
      <c r="H40" s="13">
        <v>1.5</v>
      </c>
      <c r="J40" s="16" t="s">
        <v>419</v>
      </c>
      <c r="K40" s="13">
        <v>5</v>
      </c>
      <c r="L40" s="13" t="s">
        <v>91</v>
      </c>
      <c r="M40" s="13" t="s">
        <v>80</v>
      </c>
      <c r="N40" s="13">
        <v>1.5</v>
      </c>
    </row>
    <row r="41" spans="4:14" x14ac:dyDescent="0.55000000000000004">
      <c r="D41" s="16" t="s">
        <v>420</v>
      </c>
      <c r="E41" s="13">
        <v>1</v>
      </c>
      <c r="F41" s="13" t="s">
        <v>91</v>
      </c>
      <c r="G41" s="13" t="s">
        <v>415</v>
      </c>
      <c r="H41" s="13">
        <v>1.5</v>
      </c>
      <c r="J41" s="16" t="s">
        <v>419</v>
      </c>
      <c r="K41" s="13">
        <v>5</v>
      </c>
      <c r="L41" s="13" t="s">
        <v>92</v>
      </c>
      <c r="M41" s="13" t="s">
        <v>80</v>
      </c>
      <c r="N41" s="13">
        <v>1.5</v>
      </c>
    </row>
    <row r="42" spans="4:14" x14ac:dyDescent="0.55000000000000004">
      <c r="D42" s="16" t="s">
        <v>420</v>
      </c>
      <c r="E42" s="13">
        <v>1</v>
      </c>
      <c r="F42" s="13" t="s">
        <v>92</v>
      </c>
      <c r="G42" s="13" t="s">
        <v>415</v>
      </c>
      <c r="H42" s="13">
        <v>1.5</v>
      </c>
      <c r="J42" s="16" t="s">
        <v>419</v>
      </c>
      <c r="K42" s="13">
        <v>6</v>
      </c>
      <c r="L42" s="13" t="s">
        <v>73</v>
      </c>
      <c r="M42" s="13" t="s">
        <v>80</v>
      </c>
      <c r="N42" s="13">
        <v>1.5</v>
      </c>
    </row>
    <row r="43" spans="4:14" x14ac:dyDescent="0.55000000000000004">
      <c r="D43" s="16" t="s">
        <v>420</v>
      </c>
      <c r="E43" s="13">
        <v>2</v>
      </c>
      <c r="F43" s="13" t="s">
        <v>73</v>
      </c>
      <c r="G43" s="13" t="s">
        <v>415</v>
      </c>
      <c r="H43" s="13">
        <v>1.5</v>
      </c>
      <c r="J43" s="16" t="s">
        <v>419</v>
      </c>
      <c r="K43" s="13">
        <v>6</v>
      </c>
      <c r="L43" s="13" t="s">
        <v>76</v>
      </c>
      <c r="M43" s="13" t="s">
        <v>80</v>
      </c>
      <c r="N43" s="13">
        <v>1.5</v>
      </c>
    </row>
    <row r="44" spans="4:14" x14ac:dyDescent="0.55000000000000004">
      <c r="D44" s="16" t="s">
        <v>420</v>
      </c>
      <c r="E44" s="13">
        <v>2</v>
      </c>
      <c r="F44" s="13" t="s">
        <v>76</v>
      </c>
      <c r="G44" s="13" t="s">
        <v>415</v>
      </c>
      <c r="H44" s="13">
        <v>1.5</v>
      </c>
      <c r="J44" s="16" t="s">
        <v>419</v>
      </c>
      <c r="K44" s="13">
        <v>6</v>
      </c>
      <c r="L44" s="13" t="s">
        <v>83</v>
      </c>
      <c r="M44" s="13" t="s">
        <v>80</v>
      </c>
      <c r="N44" s="13">
        <v>1.5</v>
      </c>
    </row>
    <row r="45" spans="4:14" x14ac:dyDescent="0.55000000000000004">
      <c r="D45" s="16" t="s">
        <v>420</v>
      </c>
      <c r="E45" s="13">
        <v>2</v>
      </c>
      <c r="F45" s="13" t="s">
        <v>83</v>
      </c>
      <c r="G45" s="13" t="s">
        <v>415</v>
      </c>
      <c r="H45" s="13">
        <v>1.5</v>
      </c>
      <c r="J45" s="16" t="s">
        <v>419</v>
      </c>
      <c r="K45" s="13">
        <v>6</v>
      </c>
      <c r="L45" s="13" t="s">
        <v>84</v>
      </c>
      <c r="M45" s="13" t="s">
        <v>80</v>
      </c>
      <c r="N45" s="13">
        <v>1.5</v>
      </c>
    </row>
    <row r="46" spans="4:14" x14ac:dyDescent="0.55000000000000004">
      <c r="D46" s="16" t="s">
        <v>420</v>
      </c>
      <c r="E46" s="13">
        <v>2</v>
      </c>
      <c r="F46" s="13" t="s">
        <v>84</v>
      </c>
      <c r="G46" s="13" t="s">
        <v>415</v>
      </c>
      <c r="H46" s="13">
        <v>1.5</v>
      </c>
      <c r="J46" s="16" t="s">
        <v>419</v>
      </c>
      <c r="K46" s="13">
        <v>6</v>
      </c>
      <c r="L46" s="13" t="s">
        <v>87</v>
      </c>
      <c r="M46" s="13" t="s">
        <v>80</v>
      </c>
      <c r="N46" s="13">
        <v>1.5</v>
      </c>
    </row>
    <row r="47" spans="4:14" x14ac:dyDescent="0.55000000000000004">
      <c r="D47" s="16" t="s">
        <v>420</v>
      </c>
      <c r="E47" s="13">
        <v>2</v>
      </c>
      <c r="F47" s="13" t="s">
        <v>87</v>
      </c>
      <c r="G47" s="13" t="s">
        <v>415</v>
      </c>
      <c r="H47" s="13">
        <v>1.5</v>
      </c>
      <c r="J47" s="16" t="s">
        <v>419</v>
      </c>
      <c r="K47" s="13">
        <v>6</v>
      </c>
      <c r="L47" s="13" t="s">
        <v>88</v>
      </c>
      <c r="M47" s="13" t="s">
        <v>80</v>
      </c>
      <c r="N47" s="13">
        <v>1.5</v>
      </c>
    </row>
    <row r="48" spans="4:14" x14ac:dyDescent="0.55000000000000004">
      <c r="D48" s="16" t="s">
        <v>420</v>
      </c>
      <c r="E48" s="13">
        <v>2</v>
      </c>
      <c r="F48" s="13" t="s">
        <v>88</v>
      </c>
      <c r="G48" s="13" t="s">
        <v>415</v>
      </c>
      <c r="H48" s="13">
        <v>1.5</v>
      </c>
      <c r="J48" s="16" t="s">
        <v>419</v>
      </c>
      <c r="K48" s="13">
        <v>6</v>
      </c>
      <c r="L48" s="13" t="s">
        <v>91</v>
      </c>
      <c r="M48" s="13" t="s">
        <v>80</v>
      </c>
      <c r="N48" s="13">
        <v>1.5</v>
      </c>
    </row>
    <row r="49" spans="4:14" x14ac:dyDescent="0.55000000000000004">
      <c r="D49" s="16" t="s">
        <v>420</v>
      </c>
      <c r="E49" s="13">
        <v>2</v>
      </c>
      <c r="F49" s="13" t="s">
        <v>91</v>
      </c>
      <c r="G49" s="13" t="s">
        <v>415</v>
      </c>
      <c r="H49" s="13">
        <v>1.5</v>
      </c>
      <c r="J49" s="16" t="s">
        <v>419</v>
      </c>
      <c r="K49" s="13">
        <v>6</v>
      </c>
      <c r="L49" s="13" t="s">
        <v>92</v>
      </c>
      <c r="M49" s="13" t="s">
        <v>80</v>
      </c>
      <c r="N49" s="13">
        <v>1.5</v>
      </c>
    </row>
    <row r="50" spans="4:14" x14ac:dyDescent="0.55000000000000004">
      <c r="D50" s="16" t="s">
        <v>420</v>
      </c>
      <c r="E50" s="13">
        <v>2</v>
      </c>
      <c r="F50" s="13" t="s">
        <v>92</v>
      </c>
      <c r="G50" s="13" t="s">
        <v>415</v>
      </c>
      <c r="H50" s="13">
        <v>1.5</v>
      </c>
      <c r="J50" s="16" t="s">
        <v>419</v>
      </c>
      <c r="K50" s="13">
        <v>7</v>
      </c>
      <c r="L50" s="13" t="s">
        <v>73</v>
      </c>
      <c r="M50" s="13" t="s">
        <v>80</v>
      </c>
      <c r="N50" s="13">
        <v>1.5</v>
      </c>
    </row>
    <row r="51" spans="4:14" x14ac:dyDescent="0.55000000000000004">
      <c r="D51" s="16" t="s">
        <v>420</v>
      </c>
      <c r="E51" s="13">
        <v>3</v>
      </c>
      <c r="F51" s="13" t="s">
        <v>73</v>
      </c>
      <c r="G51" s="13" t="s">
        <v>415</v>
      </c>
      <c r="H51" s="13">
        <v>1.5</v>
      </c>
      <c r="J51" s="16" t="s">
        <v>419</v>
      </c>
      <c r="K51" s="13">
        <v>7</v>
      </c>
      <c r="L51" s="13" t="s">
        <v>76</v>
      </c>
      <c r="M51" s="13" t="s">
        <v>80</v>
      </c>
      <c r="N51" s="13">
        <v>1.5</v>
      </c>
    </row>
    <row r="52" spans="4:14" x14ac:dyDescent="0.55000000000000004">
      <c r="D52" s="16" t="s">
        <v>420</v>
      </c>
      <c r="E52" s="13">
        <v>3</v>
      </c>
      <c r="F52" s="13" t="s">
        <v>76</v>
      </c>
      <c r="G52" s="13" t="s">
        <v>415</v>
      </c>
      <c r="H52" s="13">
        <v>1.5</v>
      </c>
      <c r="J52" s="16" t="s">
        <v>419</v>
      </c>
      <c r="K52" s="13">
        <v>7</v>
      </c>
      <c r="L52" s="13" t="s">
        <v>83</v>
      </c>
      <c r="M52" s="13" t="s">
        <v>80</v>
      </c>
      <c r="N52" s="13">
        <v>1.5</v>
      </c>
    </row>
    <row r="53" spans="4:14" x14ac:dyDescent="0.55000000000000004">
      <c r="D53" s="16" t="s">
        <v>420</v>
      </c>
      <c r="E53" s="13">
        <v>3</v>
      </c>
      <c r="F53" s="13" t="s">
        <v>83</v>
      </c>
      <c r="G53" s="13" t="s">
        <v>415</v>
      </c>
      <c r="H53" s="13">
        <v>1.5</v>
      </c>
      <c r="J53" s="16" t="s">
        <v>419</v>
      </c>
      <c r="K53" s="13">
        <v>7</v>
      </c>
      <c r="L53" s="13" t="s">
        <v>84</v>
      </c>
      <c r="M53" s="13" t="s">
        <v>80</v>
      </c>
      <c r="N53" s="13">
        <v>1.5</v>
      </c>
    </row>
    <row r="54" spans="4:14" x14ac:dyDescent="0.55000000000000004">
      <c r="D54" s="16" t="s">
        <v>420</v>
      </c>
      <c r="E54" s="13">
        <v>3</v>
      </c>
      <c r="F54" s="13" t="s">
        <v>84</v>
      </c>
      <c r="G54" s="13" t="s">
        <v>415</v>
      </c>
      <c r="H54" s="13">
        <v>1.5</v>
      </c>
      <c r="J54" s="16" t="s">
        <v>419</v>
      </c>
      <c r="K54" s="13">
        <v>7</v>
      </c>
      <c r="L54" s="13" t="s">
        <v>87</v>
      </c>
      <c r="M54" s="13" t="s">
        <v>80</v>
      </c>
      <c r="N54" s="13">
        <v>1.5</v>
      </c>
    </row>
    <row r="55" spans="4:14" x14ac:dyDescent="0.55000000000000004">
      <c r="D55" s="16" t="s">
        <v>420</v>
      </c>
      <c r="E55" s="13">
        <v>3</v>
      </c>
      <c r="F55" s="13" t="s">
        <v>87</v>
      </c>
      <c r="G55" s="13" t="s">
        <v>415</v>
      </c>
      <c r="H55" s="13">
        <v>1.5</v>
      </c>
      <c r="J55" s="16" t="s">
        <v>419</v>
      </c>
      <c r="K55" s="13">
        <v>7</v>
      </c>
      <c r="L55" s="13" t="s">
        <v>88</v>
      </c>
      <c r="M55" s="13" t="s">
        <v>80</v>
      </c>
      <c r="N55" s="13">
        <v>1.5</v>
      </c>
    </row>
    <row r="56" spans="4:14" x14ac:dyDescent="0.55000000000000004">
      <c r="D56" s="16" t="s">
        <v>420</v>
      </c>
      <c r="E56" s="13">
        <v>3</v>
      </c>
      <c r="F56" s="13" t="s">
        <v>88</v>
      </c>
      <c r="G56" s="13" t="s">
        <v>415</v>
      </c>
      <c r="H56" s="13">
        <v>1.5</v>
      </c>
      <c r="J56" s="16" t="s">
        <v>419</v>
      </c>
      <c r="K56" s="13">
        <v>7</v>
      </c>
      <c r="L56" s="13" t="s">
        <v>91</v>
      </c>
      <c r="M56" s="13" t="s">
        <v>80</v>
      </c>
      <c r="N56" s="13">
        <v>1.5</v>
      </c>
    </row>
    <row r="57" spans="4:14" x14ac:dyDescent="0.55000000000000004">
      <c r="D57" s="16" t="s">
        <v>420</v>
      </c>
      <c r="E57" s="13">
        <v>3</v>
      </c>
      <c r="F57" s="13" t="s">
        <v>91</v>
      </c>
      <c r="G57" s="13" t="s">
        <v>415</v>
      </c>
      <c r="H57" s="13">
        <v>1.5</v>
      </c>
      <c r="J57" s="16" t="s">
        <v>419</v>
      </c>
      <c r="K57" s="13">
        <v>7</v>
      </c>
      <c r="L57" s="13" t="s">
        <v>92</v>
      </c>
      <c r="M57" s="13" t="s">
        <v>80</v>
      </c>
      <c r="N57" s="13">
        <v>1.5</v>
      </c>
    </row>
    <row r="58" spans="4:14" x14ac:dyDescent="0.55000000000000004">
      <c r="D58" s="16" t="s">
        <v>420</v>
      </c>
      <c r="E58" s="13">
        <v>3</v>
      </c>
      <c r="F58" s="13" t="s">
        <v>92</v>
      </c>
      <c r="G58" s="13" t="s">
        <v>415</v>
      </c>
      <c r="H58" s="13">
        <v>1.5</v>
      </c>
      <c r="J58" s="16" t="s">
        <v>419</v>
      </c>
      <c r="K58" s="13">
        <v>8</v>
      </c>
      <c r="L58" s="13" t="s">
        <v>73</v>
      </c>
      <c r="M58" s="13" t="s">
        <v>80</v>
      </c>
      <c r="N58" s="13">
        <v>1.5</v>
      </c>
    </row>
    <row r="59" spans="4:14" x14ac:dyDescent="0.55000000000000004">
      <c r="D59" s="16" t="s">
        <v>420</v>
      </c>
      <c r="E59" s="13">
        <v>4</v>
      </c>
      <c r="F59" s="13" t="s">
        <v>73</v>
      </c>
      <c r="G59" s="13" t="s">
        <v>415</v>
      </c>
      <c r="H59" s="13">
        <v>1.5</v>
      </c>
      <c r="J59" s="16" t="s">
        <v>419</v>
      </c>
      <c r="K59" s="13">
        <v>8</v>
      </c>
      <c r="L59" s="13" t="s">
        <v>76</v>
      </c>
      <c r="M59" s="13" t="s">
        <v>80</v>
      </c>
      <c r="N59" s="13">
        <v>1.5</v>
      </c>
    </row>
    <row r="60" spans="4:14" x14ac:dyDescent="0.55000000000000004">
      <c r="D60" s="16" t="s">
        <v>420</v>
      </c>
      <c r="E60" s="13">
        <v>4</v>
      </c>
      <c r="F60" s="13" t="s">
        <v>76</v>
      </c>
      <c r="G60" s="13" t="s">
        <v>415</v>
      </c>
      <c r="H60" s="13">
        <v>1.5</v>
      </c>
      <c r="J60" s="16" t="s">
        <v>419</v>
      </c>
      <c r="K60" s="13">
        <v>8</v>
      </c>
      <c r="L60" s="13" t="s">
        <v>83</v>
      </c>
      <c r="M60" s="13" t="s">
        <v>80</v>
      </c>
      <c r="N60" s="13">
        <v>1.5</v>
      </c>
    </row>
    <row r="61" spans="4:14" x14ac:dyDescent="0.55000000000000004">
      <c r="D61" s="16" t="s">
        <v>420</v>
      </c>
      <c r="E61" s="13">
        <v>4</v>
      </c>
      <c r="F61" s="13" t="s">
        <v>83</v>
      </c>
      <c r="G61" s="13" t="s">
        <v>415</v>
      </c>
      <c r="H61" s="13">
        <v>1.5</v>
      </c>
      <c r="J61" s="16" t="s">
        <v>419</v>
      </c>
      <c r="K61" s="13">
        <v>8</v>
      </c>
      <c r="L61" s="13" t="s">
        <v>84</v>
      </c>
      <c r="M61" s="13" t="s">
        <v>80</v>
      </c>
      <c r="N61" s="13">
        <v>1.5</v>
      </c>
    </row>
    <row r="62" spans="4:14" x14ac:dyDescent="0.55000000000000004">
      <c r="D62" s="16" t="s">
        <v>420</v>
      </c>
      <c r="E62" s="13">
        <v>4</v>
      </c>
      <c r="F62" s="13" t="s">
        <v>84</v>
      </c>
      <c r="G62" s="13" t="s">
        <v>415</v>
      </c>
      <c r="H62" s="13">
        <v>1.5</v>
      </c>
      <c r="J62" s="16" t="s">
        <v>419</v>
      </c>
      <c r="K62" s="13">
        <v>8</v>
      </c>
      <c r="L62" s="13" t="s">
        <v>87</v>
      </c>
      <c r="M62" s="13" t="s">
        <v>80</v>
      </c>
      <c r="N62" s="13">
        <v>1.5</v>
      </c>
    </row>
    <row r="63" spans="4:14" x14ac:dyDescent="0.55000000000000004">
      <c r="D63" s="16" t="s">
        <v>420</v>
      </c>
      <c r="E63" s="13">
        <v>4</v>
      </c>
      <c r="F63" s="13" t="s">
        <v>87</v>
      </c>
      <c r="G63" s="13" t="s">
        <v>415</v>
      </c>
      <c r="H63" s="13">
        <v>1.5</v>
      </c>
      <c r="J63" s="16" t="s">
        <v>419</v>
      </c>
      <c r="K63" s="13">
        <v>8</v>
      </c>
      <c r="L63" s="13" t="s">
        <v>88</v>
      </c>
      <c r="M63" s="13" t="s">
        <v>80</v>
      </c>
      <c r="N63" s="13">
        <v>1.5</v>
      </c>
    </row>
    <row r="64" spans="4:14" x14ac:dyDescent="0.55000000000000004">
      <c r="D64" s="16" t="s">
        <v>420</v>
      </c>
      <c r="E64" s="13">
        <v>4</v>
      </c>
      <c r="F64" s="13" t="s">
        <v>88</v>
      </c>
      <c r="G64" s="13" t="s">
        <v>415</v>
      </c>
      <c r="H64" s="13">
        <v>1.5</v>
      </c>
      <c r="J64" s="16" t="s">
        <v>419</v>
      </c>
      <c r="K64" s="13">
        <v>8</v>
      </c>
      <c r="L64" s="13" t="s">
        <v>91</v>
      </c>
      <c r="M64" s="13" t="s">
        <v>80</v>
      </c>
      <c r="N64" s="13">
        <v>1.5</v>
      </c>
    </row>
    <row r="65" spans="4:14" x14ac:dyDescent="0.55000000000000004">
      <c r="D65" s="16" t="s">
        <v>420</v>
      </c>
      <c r="E65" s="13">
        <v>4</v>
      </c>
      <c r="F65" s="13" t="s">
        <v>91</v>
      </c>
      <c r="G65" s="13" t="s">
        <v>415</v>
      </c>
      <c r="H65" s="13">
        <v>1.5</v>
      </c>
      <c r="J65" s="16" t="s">
        <v>419</v>
      </c>
      <c r="K65" s="13">
        <v>8</v>
      </c>
      <c r="L65" s="13" t="s">
        <v>92</v>
      </c>
      <c r="M65" s="13" t="s">
        <v>80</v>
      </c>
      <c r="N65" s="13">
        <v>1.5</v>
      </c>
    </row>
    <row r="66" spans="4:14" x14ac:dyDescent="0.55000000000000004">
      <c r="D66" s="16" t="s">
        <v>420</v>
      </c>
      <c r="E66" s="13">
        <v>4</v>
      </c>
      <c r="F66" s="13" t="s">
        <v>92</v>
      </c>
      <c r="G66" s="13" t="s">
        <v>415</v>
      </c>
      <c r="H66" s="13">
        <v>1.5</v>
      </c>
      <c r="J66" s="16" t="s">
        <v>419</v>
      </c>
      <c r="K66" s="13">
        <v>9</v>
      </c>
      <c r="L66" s="13" t="s">
        <v>73</v>
      </c>
      <c r="M66" s="13" t="s">
        <v>80</v>
      </c>
      <c r="N66" s="13">
        <v>1.5</v>
      </c>
    </row>
    <row r="67" spans="4:14" x14ac:dyDescent="0.55000000000000004">
      <c r="D67" s="16" t="s">
        <v>420</v>
      </c>
      <c r="E67" s="13">
        <v>5</v>
      </c>
      <c r="F67" s="13" t="s">
        <v>73</v>
      </c>
      <c r="G67" s="13" t="s">
        <v>415</v>
      </c>
      <c r="H67" s="13">
        <v>1.5</v>
      </c>
      <c r="J67" s="16" t="s">
        <v>419</v>
      </c>
      <c r="K67" s="13">
        <v>9</v>
      </c>
      <c r="L67" s="13" t="s">
        <v>76</v>
      </c>
      <c r="M67" s="13" t="s">
        <v>80</v>
      </c>
      <c r="N67" s="13">
        <v>1.5</v>
      </c>
    </row>
    <row r="68" spans="4:14" x14ac:dyDescent="0.55000000000000004">
      <c r="D68" s="16" t="s">
        <v>420</v>
      </c>
      <c r="E68" s="13">
        <v>5</v>
      </c>
      <c r="F68" s="13" t="s">
        <v>76</v>
      </c>
      <c r="G68" s="13" t="s">
        <v>415</v>
      </c>
      <c r="H68" s="13">
        <v>1.5</v>
      </c>
      <c r="J68" s="16" t="s">
        <v>419</v>
      </c>
      <c r="K68" s="13">
        <v>9</v>
      </c>
      <c r="L68" s="13" t="s">
        <v>83</v>
      </c>
      <c r="M68" s="13" t="s">
        <v>80</v>
      </c>
      <c r="N68" s="13">
        <v>1.5</v>
      </c>
    </row>
    <row r="69" spans="4:14" x14ac:dyDescent="0.55000000000000004">
      <c r="D69" s="16" t="s">
        <v>420</v>
      </c>
      <c r="E69" s="13">
        <v>5</v>
      </c>
      <c r="F69" s="13" t="s">
        <v>83</v>
      </c>
      <c r="G69" s="13" t="s">
        <v>415</v>
      </c>
      <c r="H69" s="13">
        <v>1.5</v>
      </c>
      <c r="J69" s="16" t="s">
        <v>419</v>
      </c>
      <c r="K69" s="13">
        <v>9</v>
      </c>
      <c r="L69" s="13" t="s">
        <v>84</v>
      </c>
      <c r="M69" s="13" t="s">
        <v>80</v>
      </c>
      <c r="N69" s="13">
        <v>1.5</v>
      </c>
    </row>
    <row r="70" spans="4:14" x14ac:dyDescent="0.55000000000000004">
      <c r="D70" s="16" t="s">
        <v>420</v>
      </c>
      <c r="E70" s="13">
        <v>5</v>
      </c>
      <c r="F70" s="13" t="s">
        <v>84</v>
      </c>
      <c r="G70" s="13" t="s">
        <v>415</v>
      </c>
      <c r="H70" s="13">
        <v>1.5</v>
      </c>
      <c r="J70" s="16" t="s">
        <v>419</v>
      </c>
      <c r="K70" s="13">
        <v>9</v>
      </c>
      <c r="L70" s="13" t="s">
        <v>87</v>
      </c>
      <c r="M70" s="13" t="s">
        <v>80</v>
      </c>
      <c r="N70" s="13">
        <v>1.5</v>
      </c>
    </row>
    <row r="71" spans="4:14" x14ac:dyDescent="0.55000000000000004">
      <c r="D71" s="16" t="s">
        <v>420</v>
      </c>
      <c r="E71" s="13">
        <v>5</v>
      </c>
      <c r="F71" s="13" t="s">
        <v>87</v>
      </c>
      <c r="G71" s="13" t="s">
        <v>415</v>
      </c>
      <c r="H71" s="13">
        <v>1.5</v>
      </c>
      <c r="J71" s="16" t="s">
        <v>419</v>
      </c>
      <c r="K71" s="13">
        <v>9</v>
      </c>
      <c r="L71" s="13" t="s">
        <v>88</v>
      </c>
      <c r="M71" s="13" t="s">
        <v>80</v>
      </c>
      <c r="N71" s="13">
        <v>1.5</v>
      </c>
    </row>
    <row r="72" spans="4:14" x14ac:dyDescent="0.55000000000000004">
      <c r="D72" s="16" t="s">
        <v>420</v>
      </c>
      <c r="E72" s="13">
        <v>5</v>
      </c>
      <c r="F72" s="13" t="s">
        <v>88</v>
      </c>
      <c r="G72" s="13" t="s">
        <v>415</v>
      </c>
      <c r="H72" s="13">
        <v>1.5</v>
      </c>
      <c r="J72" s="16" t="s">
        <v>419</v>
      </c>
      <c r="K72" s="13">
        <v>9</v>
      </c>
      <c r="L72" s="13" t="s">
        <v>91</v>
      </c>
      <c r="M72" s="13" t="s">
        <v>80</v>
      </c>
      <c r="N72" s="13">
        <v>1.5</v>
      </c>
    </row>
    <row r="73" spans="4:14" x14ac:dyDescent="0.55000000000000004">
      <c r="D73" s="16" t="s">
        <v>420</v>
      </c>
      <c r="E73" s="13">
        <v>5</v>
      </c>
      <c r="F73" s="13" t="s">
        <v>91</v>
      </c>
      <c r="G73" s="13" t="s">
        <v>415</v>
      </c>
      <c r="H73" s="13">
        <v>1.5</v>
      </c>
      <c r="J73" s="16" t="s">
        <v>419</v>
      </c>
      <c r="K73" s="13">
        <v>9</v>
      </c>
      <c r="L73" s="13" t="s">
        <v>92</v>
      </c>
      <c r="M73" s="13" t="s">
        <v>80</v>
      </c>
      <c r="N73" s="13">
        <v>1.5</v>
      </c>
    </row>
    <row r="74" spans="4:14" x14ac:dyDescent="0.55000000000000004">
      <c r="D74" s="16" t="s">
        <v>420</v>
      </c>
      <c r="E74" s="13">
        <v>5</v>
      </c>
      <c r="F74" s="13" t="s">
        <v>92</v>
      </c>
      <c r="G74" s="13" t="s">
        <v>415</v>
      </c>
      <c r="H74" s="13">
        <v>1.5</v>
      </c>
      <c r="J74" s="16" t="s">
        <v>419</v>
      </c>
      <c r="K74" s="13">
        <v>10</v>
      </c>
      <c r="L74" s="13" t="s">
        <v>73</v>
      </c>
      <c r="M74" s="13" t="s">
        <v>80</v>
      </c>
      <c r="N74" s="13">
        <v>1.5</v>
      </c>
    </row>
    <row r="75" spans="4:14" x14ac:dyDescent="0.55000000000000004">
      <c r="D75" s="16" t="s">
        <v>420</v>
      </c>
      <c r="E75" s="13">
        <v>6</v>
      </c>
      <c r="F75" s="13" t="s">
        <v>73</v>
      </c>
      <c r="G75" s="13" t="s">
        <v>415</v>
      </c>
      <c r="H75" s="13">
        <v>1.5</v>
      </c>
      <c r="J75" s="16" t="s">
        <v>419</v>
      </c>
      <c r="K75" s="13">
        <v>10</v>
      </c>
      <c r="L75" s="13" t="s">
        <v>76</v>
      </c>
      <c r="M75" s="13" t="s">
        <v>80</v>
      </c>
      <c r="N75" s="13">
        <v>1.5</v>
      </c>
    </row>
    <row r="76" spans="4:14" x14ac:dyDescent="0.55000000000000004">
      <c r="D76" s="16" t="s">
        <v>420</v>
      </c>
      <c r="E76" s="13">
        <v>6</v>
      </c>
      <c r="F76" s="13" t="s">
        <v>76</v>
      </c>
      <c r="G76" s="13" t="s">
        <v>415</v>
      </c>
      <c r="H76" s="13">
        <v>1.5</v>
      </c>
      <c r="J76" s="16" t="s">
        <v>419</v>
      </c>
      <c r="K76" s="13">
        <v>10</v>
      </c>
      <c r="L76" s="13" t="s">
        <v>83</v>
      </c>
      <c r="M76" s="13" t="s">
        <v>80</v>
      </c>
      <c r="N76" s="13">
        <v>1.5</v>
      </c>
    </row>
    <row r="77" spans="4:14" x14ac:dyDescent="0.55000000000000004">
      <c r="D77" s="16" t="s">
        <v>420</v>
      </c>
      <c r="E77" s="13">
        <v>6</v>
      </c>
      <c r="F77" s="13" t="s">
        <v>83</v>
      </c>
      <c r="G77" s="13" t="s">
        <v>415</v>
      </c>
      <c r="H77" s="13">
        <v>1.5</v>
      </c>
      <c r="J77" s="16" t="s">
        <v>419</v>
      </c>
      <c r="K77" s="13">
        <v>10</v>
      </c>
      <c r="L77" s="13" t="s">
        <v>84</v>
      </c>
      <c r="M77" s="13" t="s">
        <v>80</v>
      </c>
      <c r="N77" s="13">
        <v>1.5</v>
      </c>
    </row>
    <row r="78" spans="4:14" x14ac:dyDescent="0.55000000000000004">
      <c r="D78" s="16" t="s">
        <v>420</v>
      </c>
      <c r="E78" s="13">
        <v>6</v>
      </c>
      <c r="F78" s="13" t="s">
        <v>84</v>
      </c>
      <c r="G78" s="13" t="s">
        <v>415</v>
      </c>
      <c r="H78" s="13">
        <v>1.5</v>
      </c>
      <c r="J78" s="16" t="s">
        <v>419</v>
      </c>
      <c r="K78" s="13">
        <v>10</v>
      </c>
      <c r="L78" s="13" t="s">
        <v>87</v>
      </c>
      <c r="M78" s="13" t="s">
        <v>80</v>
      </c>
      <c r="N78" s="13">
        <v>1.5</v>
      </c>
    </row>
    <row r="79" spans="4:14" x14ac:dyDescent="0.55000000000000004">
      <c r="D79" s="16" t="s">
        <v>201</v>
      </c>
      <c r="E79" s="13">
        <v>4</v>
      </c>
      <c r="F79" s="13" t="s">
        <v>73</v>
      </c>
      <c r="G79" s="13" t="s">
        <v>415</v>
      </c>
      <c r="H79" s="13">
        <v>1.5</v>
      </c>
      <c r="J79" s="16" t="s">
        <v>419</v>
      </c>
      <c r="K79" s="13">
        <v>10</v>
      </c>
      <c r="L79" s="13" t="s">
        <v>88</v>
      </c>
      <c r="M79" s="13" t="s">
        <v>80</v>
      </c>
      <c r="N79" s="13">
        <v>1.5</v>
      </c>
    </row>
    <row r="80" spans="4:14" x14ac:dyDescent="0.55000000000000004">
      <c r="D80" s="16" t="s">
        <v>201</v>
      </c>
      <c r="E80" s="13">
        <v>4</v>
      </c>
      <c r="F80" s="13" t="s">
        <v>83</v>
      </c>
      <c r="G80" s="13" t="s">
        <v>415</v>
      </c>
      <c r="H80" s="13">
        <v>1.5</v>
      </c>
      <c r="J80" s="16" t="s">
        <v>419</v>
      </c>
      <c r="K80" s="13">
        <v>10</v>
      </c>
      <c r="L80" s="13" t="s">
        <v>91</v>
      </c>
      <c r="M80" s="13" t="s">
        <v>80</v>
      </c>
      <c r="N80" s="13">
        <v>1.5</v>
      </c>
    </row>
    <row r="81" spans="4:14" x14ac:dyDescent="0.55000000000000004">
      <c r="D81" s="16" t="s">
        <v>201</v>
      </c>
      <c r="E81" s="13">
        <v>5</v>
      </c>
      <c r="F81" s="13" t="s">
        <v>73</v>
      </c>
      <c r="G81" s="13" t="s">
        <v>415</v>
      </c>
      <c r="H81" s="13">
        <v>1.5</v>
      </c>
      <c r="J81" s="16" t="s">
        <v>419</v>
      </c>
      <c r="K81" s="13">
        <v>10</v>
      </c>
      <c r="L81" s="13" t="s">
        <v>92</v>
      </c>
      <c r="M81" s="13" t="s">
        <v>80</v>
      </c>
      <c r="N81" s="13">
        <v>1.5</v>
      </c>
    </row>
    <row r="82" spans="4:14" x14ac:dyDescent="0.55000000000000004">
      <c r="D82" s="16" t="s">
        <v>201</v>
      </c>
      <c r="E82" s="13">
        <v>7</v>
      </c>
      <c r="F82" s="13" t="s">
        <v>76</v>
      </c>
      <c r="G82" s="13" t="s">
        <v>415</v>
      </c>
      <c r="H82" s="13">
        <v>1.5</v>
      </c>
      <c r="J82" s="16" t="s">
        <v>419</v>
      </c>
      <c r="K82" s="13">
        <v>11</v>
      </c>
      <c r="L82" s="13" t="s">
        <v>73</v>
      </c>
      <c r="M82" s="13" t="s">
        <v>80</v>
      </c>
      <c r="N82" s="13">
        <v>1.5</v>
      </c>
    </row>
    <row r="83" spans="4:14" x14ac:dyDescent="0.55000000000000004">
      <c r="D83" s="16" t="s">
        <v>201</v>
      </c>
      <c r="E83" s="13">
        <v>8</v>
      </c>
      <c r="F83" s="13" t="s">
        <v>73</v>
      </c>
      <c r="G83" s="13" t="s">
        <v>415</v>
      </c>
      <c r="H83" s="13">
        <v>1.5</v>
      </c>
      <c r="J83" s="16" t="s">
        <v>419</v>
      </c>
      <c r="K83" s="13">
        <v>11</v>
      </c>
      <c r="L83" s="13" t="s">
        <v>76</v>
      </c>
      <c r="M83" s="13" t="s">
        <v>80</v>
      </c>
      <c r="N83" s="13">
        <v>1.5</v>
      </c>
    </row>
    <row r="84" spans="4:14" x14ac:dyDescent="0.55000000000000004">
      <c r="D84" s="16" t="s">
        <v>201</v>
      </c>
      <c r="E84" s="13">
        <v>11</v>
      </c>
      <c r="F84" s="13" t="s">
        <v>76</v>
      </c>
      <c r="G84" s="13" t="s">
        <v>415</v>
      </c>
      <c r="H84" s="13">
        <v>1.5</v>
      </c>
      <c r="J84" s="16" t="s">
        <v>419</v>
      </c>
      <c r="K84" s="13">
        <v>11</v>
      </c>
      <c r="L84" s="13" t="s">
        <v>83</v>
      </c>
      <c r="M84" s="13" t="s">
        <v>80</v>
      </c>
      <c r="N84" s="13">
        <v>1.5</v>
      </c>
    </row>
    <row r="85" spans="4:14" x14ac:dyDescent="0.55000000000000004">
      <c r="D85" s="16" t="s">
        <v>201</v>
      </c>
      <c r="E85" s="13">
        <v>12</v>
      </c>
      <c r="F85" s="13" t="s">
        <v>84</v>
      </c>
      <c r="G85" s="13" t="s">
        <v>415</v>
      </c>
      <c r="H85" s="13">
        <v>1.5</v>
      </c>
      <c r="J85" s="16" t="s">
        <v>419</v>
      </c>
      <c r="K85" s="13">
        <v>11</v>
      </c>
      <c r="L85" s="13" t="s">
        <v>84</v>
      </c>
      <c r="M85" s="13" t="s">
        <v>80</v>
      </c>
      <c r="N85" s="13">
        <v>1.5</v>
      </c>
    </row>
    <row r="86" spans="4:14" x14ac:dyDescent="0.55000000000000004">
      <c r="J86" s="16" t="s">
        <v>419</v>
      </c>
      <c r="K86" s="13">
        <v>11</v>
      </c>
      <c r="L86" s="13" t="s">
        <v>87</v>
      </c>
      <c r="M86" s="13" t="s">
        <v>80</v>
      </c>
      <c r="N86" s="13">
        <v>1.5</v>
      </c>
    </row>
    <row r="87" spans="4:14" x14ac:dyDescent="0.55000000000000004">
      <c r="J87" s="16" t="s">
        <v>419</v>
      </c>
      <c r="K87" s="13">
        <v>11</v>
      </c>
      <c r="L87" s="13" t="s">
        <v>88</v>
      </c>
      <c r="M87" s="13" t="s">
        <v>80</v>
      </c>
      <c r="N87" s="13">
        <v>1.5</v>
      </c>
    </row>
    <row r="88" spans="4:14" x14ac:dyDescent="0.55000000000000004">
      <c r="J88" s="16" t="s">
        <v>419</v>
      </c>
      <c r="K88" s="13">
        <v>11</v>
      </c>
      <c r="L88" s="13" t="s">
        <v>91</v>
      </c>
      <c r="M88" s="13" t="s">
        <v>80</v>
      </c>
      <c r="N88" s="13">
        <v>1.5</v>
      </c>
    </row>
    <row r="89" spans="4:14" x14ac:dyDescent="0.55000000000000004">
      <c r="J89" s="16" t="s">
        <v>419</v>
      </c>
      <c r="K89" s="13">
        <v>11</v>
      </c>
      <c r="L89" s="13" t="s">
        <v>92</v>
      </c>
      <c r="M89" s="13" t="s">
        <v>80</v>
      </c>
      <c r="N89" s="13">
        <v>1.5</v>
      </c>
    </row>
    <row r="90" spans="4:14" x14ac:dyDescent="0.55000000000000004">
      <c r="J90" s="16" t="s">
        <v>419</v>
      </c>
      <c r="K90" s="13">
        <v>12</v>
      </c>
      <c r="L90" s="13" t="s">
        <v>73</v>
      </c>
      <c r="M90" s="13" t="s">
        <v>80</v>
      </c>
      <c r="N90" s="13">
        <v>1.5</v>
      </c>
    </row>
    <row r="91" spans="4:14" x14ac:dyDescent="0.55000000000000004">
      <c r="J91" s="16" t="s">
        <v>419</v>
      </c>
      <c r="K91" s="13">
        <v>12</v>
      </c>
      <c r="L91" s="13" t="s">
        <v>76</v>
      </c>
      <c r="M91" s="13" t="s">
        <v>80</v>
      </c>
      <c r="N91" s="13">
        <v>1.5</v>
      </c>
    </row>
    <row r="92" spans="4:14" x14ac:dyDescent="0.55000000000000004">
      <c r="J92" s="16" t="s">
        <v>419</v>
      </c>
      <c r="K92" s="13">
        <v>12</v>
      </c>
      <c r="L92" s="13" t="s">
        <v>83</v>
      </c>
      <c r="M92" s="13" t="s">
        <v>80</v>
      </c>
      <c r="N92" s="13">
        <v>1.5</v>
      </c>
    </row>
    <row r="93" spans="4:14" x14ac:dyDescent="0.55000000000000004">
      <c r="J93" s="16" t="s">
        <v>419</v>
      </c>
      <c r="K93" s="13">
        <v>12</v>
      </c>
      <c r="L93" s="13" t="s">
        <v>84</v>
      </c>
      <c r="M93" s="13" t="s">
        <v>80</v>
      </c>
      <c r="N93" s="13">
        <v>1.5</v>
      </c>
    </row>
    <row r="94" spans="4:14" x14ac:dyDescent="0.55000000000000004">
      <c r="J94" s="16" t="s">
        <v>419</v>
      </c>
      <c r="K94" s="13">
        <v>12</v>
      </c>
      <c r="L94" s="13" t="s">
        <v>87</v>
      </c>
      <c r="M94" s="13" t="s">
        <v>80</v>
      </c>
      <c r="N94" s="13">
        <v>1.5</v>
      </c>
    </row>
    <row r="95" spans="4:14" x14ac:dyDescent="0.55000000000000004">
      <c r="J95" s="16" t="s">
        <v>419</v>
      </c>
      <c r="K95" s="13">
        <v>12</v>
      </c>
      <c r="L95" s="13" t="s">
        <v>88</v>
      </c>
      <c r="M95" s="13" t="s">
        <v>80</v>
      </c>
      <c r="N95" s="13">
        <v>1.5</v>
      </c>
    </row>
    <row r="96" spans="4:14" x14ac:dyDescent="0.55000000000000004">
      <c r="J96" s="16" t="s">
        <v>419</v>
      </c>
      <c r="K96" s="13">
        <v>12</v>
      </c>
      <c r="L96" s="13" t="s">
        <v>91</v>
      </c>
      <c r="M96" s="13" t="s">
        <v>80</v>
      </c>
      <c r="N96" s="13">
        <v>1.5</v>
      </c>
    </row>
    <row r="97" spans="10:14" x14ac:dyDescent="0.55000000000000004">
      <c r="J97" s="16" t="s">
        <v>419</v>
      </c>
      <c r="K97" s="13">
        <v>12</v>
      </c>
      <c r="L97" s="13" t="s">
        <v>92</v>
      </c>
      <c r="M97" s="13" t="s">
        <v>80</v>
      </c>
      <c r="N97" s="13">
        <v>1.5</v>
      </c>
    </row>
    <row r="98" spans="10:14" x14ac:dyDescent="0.55000000000000004">
      <c r="J98" s="16" t="s">
        <v>420</v>
      </c>
      <c r="K98" s="13">
        <v>6</v>
      </c>
      <c r="L98" s="13" t="s">
        <v>87</v>
      </c>
      <c r="M98" s="13" t="s">
        <v>80</v>
      </c>
      <c r="N98" s="13">
        <v>1.5</v>
      </c>
    </row>
    <row r="99" spans="10:14" x14ac:dyDescent="0.55000000000000004">
      <c r="J99" s="16" t="s">
        <v>420</v>
      </c>
      <c r="K99" s="13">
        <v>6</v>
      </c>
      <c r="L99" s="13" t="s">
        <v>88</v>
      </c>
      <c r="M99" s="13" t="s">
        <v>80</v>
      </c>
      <c r="N99" s="13">
        <v>1.5</v>
      </c>
    </row>
    <row r="100" spans="10:14" x14ac:dyDescent="0.55000000000000004">
      <c r="J100" s="16" t="s">
        <v>420</v>
      </c>
      <c r="K100" s="13">
        <v>6</v>
      </c>
      <c r="L100" s="13" t="s">
        <v>91</v>
      </c>
      <c r="M100" s="13" t="s">
        <v>80</v>
      </c>
      <c r="N100" s="13">
        <v>1.5</v>
      </c>
    </row>
    <row r="101" spans="10:14" x14ac:dyDescent="0.55000000000000004">
      <c r="J101" s="16" t="s">
        <v>420</v>
      </c>
      <c r="K101" s="13">
        <v>6</v>
      </c>
      <c r="L101" s="13" t="s">
        <v>92</v>
      </c>
      <c r="M101" s="13" t="s">
        <v>80</v>
      </c>
      <c r="N101" s="13">
        <v>1.5</v>
      </c>
    </row>
    <row r="102" spans="10:14" x14ac:dyDescent="0.55000000000000004">
      <c r="J102" s="16" t="s">
        <v>420</v>
      </c>
      <c r="K102" s="13">
        <v>7</v>
      </c>
      <c r="L102" s="13" t="s">
        <v>73</v>
      </c>
      <c r="M102" s="13" t="s">
        <v>80</v>
      </c>
      <c r="N102" s="13">
        <v>1.5</v>
      </c>
    </row>
    <row r="103" spans="10:14" x14ac:dyDescent="0.55000000000000004">
      <c r="J103" s="16" t="s">
        <v>420</v>
      </c>
      <c r="K103" s="13">
        <v>7</v>
      </c>
      <c r="L103" s="13" t="s">
        <v>76</v>
      </c>
      <c r="M103" s="13" t="s">
        <v>80</v>
      </c>
      <c r="N103" s="13">
        <v>1.5</v>
      </c>
    </row>
    <row r="104" spans="10:14" x14ac:dyDescent="0.55000000000000004">
      <c r="J104" s="16" t="s">
        <v>420</v>
      </c>
      <c r="K104" s="13">
        <v>7</v>
      </c>
      <c r="L104" s="13" t="s">
        <v>83</v>
      </c>
      <c r="M104" s="13" t="s">
        <v>80</v>
      </c>
      <c r="N104" s="13">
        <v>1.5</v>
      </c>
    </row>
    <row r="105" spans="10:14" x14ac:dyDescent="0.55000000000000004">
      <c r="J105" s="16" t="s">
        <v>420</v>
      </c>
      <c r="K105" s="13">
        <v>7</v>
      </c>
      <c r="L105" s="13" t="s">
        <v>84</v>
      </c>
      <c r="M105" s="13" t="s">
        <v>80</v>
      </c>
      <c r="N105" s="13">
        <v>1.5</v>
      </c>
    </row>
    <row r="106" spans="10:14" x14ac:dyDescent="0.55000000000000004">
      <c r="J106" s="16" t="s">
        <v>420</v>
      </c>
      <c r="K106" s="13">
        <v>7</v>
      </c>
      <c r="L106" s="13" t="s">
        <v>87</v>
      </c>
      <c r="M106" s="13" t="s">
        <v>80</v>
      </c>
      <c r="N106" s="13">
        <v>1.5</v>
      </c>
    </row>
    <row r="107" spans="10:14" x14ac:dyDescent="0.55000000000000004">
      <c r="J107" s="16" t="s">
        <v>420</v>
      </c>
      <c r="K107" s="13">
        <v>7</v>
      </c>
      <c r="L107" s="13" t="s">
        <v>88</v>
      </c>
      <c r="M107" s="13" t="s">
        <v>80</v>
      </c>
      <c r="N107" s="13">
        <v>1.5</v>
      </c>
    </row>
    <row r="108" spans="10:14" x14ac:dyDescent="0.55000000000000004">
      <c r="J108" s="16" t="s">
        <v>420</v>
      </c>
      <c r="K108" s="13">
        <v>7</v>
      </c>
      <c r="L108" s="13" t="s">
        <v>91</v>
      </c>
      <c r="M108" s="13" t="s">
        <v>80</v>
      </c>
      <c r="N108" s="13">
        <v>1.5</v>
      </c>
    </row>
    <row r="109" spans="10:14" x14ac:dyDescent="0.55000000000000004">
      <c r="J109" s="16" t="s">
        <v>420</v>
      </c>
      <c r="K109" s="13">
        <v>7</v>
      </c>
      <c r="L109" s="13" t="s">
        <v>92</v>
      </c>
      <c r="M109" s="13" t="s">
        <v>80</v>
      </c>
      <c r="N109" s="13">
        <v>1.5</v>
      </c>
    </row>
    <row r="110" spans="10:14" x14ac:dyDescent="0.55000000000000004">
      <c r="J110" s="16" t="s">
        <v>420</v>
      </c>
      <c r="K110" s="13">
        <v>8</v>
      </c>
      <c r="L110" s="13" t="s">
        <v>73</v>
      </c>
      <c r="M110" s="13" t="s">
        <v>80</v>
      </c>
      <c r="N110" s="13">
        <v>1.5</v>
      </c>
    </row>
    <row r="111" spans="10:14" x14ac:dyDescent="0.55000000000000004">
      <c r="J111" s="16" t="s">
        <v>420</v>
      </c>
      <c r="K111" s="13">
        <v>8</v>
      </c>
      <c r="L111" s="13" t="s">
        <v>76</v>
      </c>
      <c r="M111" s="13" t="s">
        <v>80</v>
      </c>
      <c r="N111" s="13">
        <v>1.5</v>
      </c>
    </row>
    <row r="112" spans="10:14" x14ac:dyDescent="0.55000000000000004">
      <c r="J112" s="16" t="s">
        <v>420</v>
      </c>
      <c r="K112" s="13">
        <v>8</v>
      </c>
      <c r="L112" s="13" t="s">
        <v>83</v>
      </c>
      <c r="M112" s="13" t="s">
        <v>80</v>
      </c>
      <c r="N112" s="13">
        <v>1.5</v>
      </c>
    </row>
    <row r="113" spans="10:14" x14ac:dyDescent="0.55000000000000004">
      <c r="J113" s="16" t="s">
        <v>77</v>
      </c>
      <c r="K113" s="13">
        <v>7</v>
      </c>
      <c r="L113" s="13" t="s">
        <v>92</v>
      </c>
      <c r="M113" s="13" t="s">
        <v>80</v>
      </c>
      <c r="N113" s="13">
        <v>1.5</v>
      </c>
    </row>
    <row r="114" spans="10:14" x14ac:dyDescent="0.55000000000000004">
      <c r="J114" s="16" t="s">
        <v>77</v>
      </c>
      <c r="K114" s="13">
        <v>11</v>
      </c>
      <c r="L114" s="13" t="s">
        <v>76</v>
      </c>
      <c r="M114" s="13" t="s">
        <v>80</v>
      </c>
      <c r="N114" s="13">
        <v>1.5</v>
      </c>
    </row>
  </sheetData>
  <sortState xmlns:xlrd2="http://schemas.microsoft.com/office/spreadsheetml/2017/richdata2" ref="J2:N114">
    <sortCondition ref="J2:J114"/>
    <sortCondition ref="K2:K114"/>
    <sortCondition ref="L2:L114"/>
  </sortState>
  <pageMargins left="0.5" right="0.45" top="0.25" bottom="0.2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FullSeqDecode</vt:lpstr>
      <vt:lpstr>TL2decode</vt:lpstr>
      <vt:lpstr>FullSeqPool</vt:lpstr>
      <vt:lpstr>Sequence decode</vt:lpstr>
      <vt:lpstr>DilutionPlate</vt:lpstr>
      <vt:lpstr>FullSeqPool!Print_Titles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Magnuson, Sharon</dc:creator>
  <cp:keywords/>
  <dc:description/>
  <cp:lastModifiedBy>Bird, Chris</cp:lastModifiedBy>
  <cp:revision>0</cp:revision>
  <cp:lastPrinted>2024-02-05T18:14:14Z</cp:lastPrinted>
  <dcterms:created xsi:type="dcterms:W3CDTF">2021-06-01T17:28:44Z</dcterms:created>
  <dcterms:modified xsi:type="dcterms:W3CDTF">2026-02-03T21:55:41Z</dcterms:modified>
  <cp:category/>
  <cp:contentStatus/>
</cp:coreProperties>
</file>